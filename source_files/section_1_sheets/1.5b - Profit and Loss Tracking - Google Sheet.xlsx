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YEAR" sheetId="1" r:id="rId4"/>
  </sheets>
  <definedNames/>
  <calcPr/>
  <extLst>
    <ext uri="GoogleSheetsCustomDataVersion2">
      <go:sheetsCustomData xmlns:go="http://customooxmlschemas.google.com/" r:id="rId5" roundtripDataChecksum="QT+VX72KPM1rRYKYM/RlMQQeG3CYuk8llBtrFOuUOa4="/>
    </ext>
  </extLst>
</workbook>
</file>

<file path=xl/sharedStrings.xml><?xml version="1.0" encoding="utf-8"?>
<sst xmlns="http://schemas.openxmlformats.org/spreadsheetml/2006/main" count="57" uniqueCount="57">
  <si>
    <t>BAX CONSULTING AND MARKETING PTY LTD</t>
  </si>
  <si>
    <t>Profit and Loss</t>
  </si>
  <si>
    <t>TOTAL</t>
  </si>
  <si>
    <t>[MONTH] [YEAR]</t>
  </si>
  <si>
    <t>% of Income</t>
  </si>
  <si>
    <t>Income</t>
  </si>
  <si>
    <t xml:space="preserve">   ChargeBacks</t>
  </si>
  <si>
    <t xml:space="preserve">   Sales Rev - RCA Financed</t>
  </si>
  <si>
    <t xml:space="preserve">   Sales Revenue</t>
  </si>
  <si>
    <t xml:space="preserve">   Refunds</t>
  </si>
  <si>
    <t xml:space="preserve">   Referral Commission</t>
  </si>
  <si>
    <t>Total Income</t>
  </si>
  <si>
    <t>Gross Profit</t>
  </si>
  <si>
    <t>Expenses</t>
  </si>
  <si>
    <t xml:space="preserve">   Marketing/Acquisition Costs</t>
  </si>
  <si>
    <t xml:space="preserve">      Ad Spend (Paid Ads)</t>
  </si>
  <si>
    <t xml:space="preserve">      IG/TikTok Shoutouts</t>
  </si>
  <si>
    <t xml:space="preserve">      Recruiting Ads</t>
  </si>
  <si>
    <t xml:space="preserve">      Referral Payouts</t>
  </si>
  <si>
    <t xml:space="preserve">   Total Advertising/Acquisition Costs</t>
  </si>
  <si>
    <t xml:space="preserve">   Cost of Labor</t>
  </si>
  <si>
    <t xml:space="preserve">      Executives Pay</t>
  </si>
  <si>
    <t xml:space="preserve">         SCIO Executives Pay</t>
  </si>
  <si>
    <t xml:space="preserve">      Total Executives Pay</t>
  </si>
  <si>
    <t xml:space="preserve">      Fulfillment Labor</t>
  </si>
  <si>
    <t xml:space="preserve">         Base Pay - SCIO Fulfillment</t>
  </si>
  <si>
    <t xml:space="preserve">         Bonuses - SCIO Fulfillment</t>
  </si>
  <si>
    <t xml:space="preserve">         SCIO Fulfillment Management</t>
  </si>
  <si>
    <t xml:space="preserve">      Total Fulfillment Labor</t>
  </si>
  <si>
    <t xml:space="preserve">      Marketing Labor</t>
  </si>
  <si>
    <t xml:space="preserve">      Operations Labor</t>
  </si>
  <si>
    <t>Owner Salary</t>
  </si>
  <si>
    <t xml:space="preserve">      Sales Labor</t>
  </si>
  <si>
    <t xml:space="preserve">         Commissions - SCIO Closers</t>
  </si>
  <si>
    <t xml:space="preserve">         Commissions - SCIO Setters</t>
  </si>
  <si>
    <t xml:space="preserve">      Total Sales Labor</t>
  </si>
  <si>
    <t xml:space="preserve">   Total Cost of Labor</t>
  </si>
  <si>
    <t xml:space="preserve">   Overhead Expenses</t>
  </si>
  <si>
    <t xml:space="preserve">      Bank Charges &amp; Fees</t>
  </si>
  <si>
    <t xml:space="preserve">      Client Appreciation</t>
  </si>
  <si>
    <t xml:space="preserve">      Insurance</t>
  </si>
  <si>
    <t xml:space="preserve">      Legal &amp; Professional Services</t>
  </si>
  <si>
    <t xml:space="preserve">      Merchant Service Fees</t>
  </si>
  <si>
    <t xml:space="preserve">      Office Expense</t>
  </si>
  <si>
    <t xml:space="preserve">       Software</t>
  </si>
  <si>
    <t xml:space="preserve">   Total Overhead Expenses</t>
  </si>
  <si>
    <t>Total Expenses</t>
  </si>
  <si>
    <t>Net Operating Income</t>
  </si>
  <si>
    <t>Other Expenses</t>
  </si>
  <si>
    <t xml:space="preserve">   Car</t>
  </si>
  <si>
    <t xml:space="preserve">   Meals &amp; Entertainment</t>
  </si>
  <si>
    <t xml:space="preserve">   Medical</t>
  </si>
  <si>
    <t xml:space="preserve">   Professional Development</t>
  </si>
  <si>
    <t xml:space="preserve">   Travel</t>
  </si>
  <si>
    <t>Total Other Expenses</t>
  </si>
  <si>
    <t>Net Income</t>
  </si>
  <si>
    <t>Taxes to Save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</si>
</sst>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#,##0.00\ _€"/>
    <numFmt numFmtId="166" formatCode="&quot;$&quot;* #,##0.00\ _€"/>
    <numFmt numFmtId="167" formatCode="_(&quot;$&quot;* #,##0.00_);_(&quot;$&quot;* \(#,##0.00\);_(&quot;$&quot;* &quot;-&quot;??_);_(@_)"/>
  </numFmts>
  <fonts count="16">
    <font>
      <sz val="11.0"/>
      <color rgb="FF000000"/>
      <name val="Calibri"/>
      <scheme val="minor"/>
    </font>
    <font>
      <b/>
      <sz val="14.0"/>
      <color theme="1"/>
      <name val="Arial"/>
    </font>
    <font>
      <sz val="11.0"/>
      <color theme="1"/>
      <name val="Calibri"/>
    </font>
    <font>
      <sz val="8.0"/>
      <color theme="1"/>
      <name val="Arial"/>
    </font>
    <font>
      <b/>
      <color theme="1"/>
      <name val="Arial"/>
    </font>
    <font>
      <b/>
      <sz val="9.0"/>
      <color theme="1"/>
      <name val="Arial"/>
    </font>
    <font>
      <sz val="9.0"/>
      <color theme="1"/>
      <name val="Calibri"/>
    </font>
    <font>
      <b/>
      <u/>
      <sz val="8.0"/>
      <color theme="1"/>
      <name val="Arial"/>
    </font>
    <font>
      <b/>
      <sz val="8.0"/>
      <color theme="1"/>
      <name val="Arial"/>
    </font>
    <font>
      <b/>
      <u/>
      <sz val="8.0"/>
      <color theme="1"/>
      <name val="Arial"/>
    </font>
    <font>
      <sz val="8.0"/>
      <color rgb="FF000000"/>
      <name val="Arial"/>
    </font>
    <font>
      <i/>
      <sz val="8.0"/>
      <color theme="1"/>
      <name val="Arial"/>
    </font>
    <font>
      <i/>
      <sz val="10.0"/>
      <color theme="1"/>
      <name val="Arial"/>
    </font>
    <font>
      <b/>
      <sz val="8.0"/>
      <color rgb="FFD0CECE"/>
      <name val="Arial"/>
    </font>
    <font>
      <color theme="1"/>
      <name val="Calibri"/>
    </font>
    <font>
      <b/>
      <i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</fills>
  <borders count="4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10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2" fontId="5" numFmtId="0" xfId="0" applyAlignment="1" applyFill="1" applyFont="1">
      <alignment horizontal="center" shrinkToFit="0" vertical="bottom" wrapText="1"/>
    </xf>
    <xf borderId="1" fillId="2" fontId="6" numFmtId="49" xfId="0" applyAlignment="1" applyBorder="1" applyFont="1" applyNumberFormat="1">
      <alignment horizontal="center" vertical="bottom"/>
    </xf>
    <xf borderId="1" fillId="2" fontId="3" numFmtId="10" xfId="0" applyAlignment="1" applyBorder="1" applyFont="1" applyNumberFormat="1">
      <alignment horizontal="center" vertical="bottom"/>
    </xf>
    <xf borderId="0" fillId="0" fontId="2" numFmtId="49" xfId="0" applyAlignment="1" applyFont="1" applyNumberFormat="1">
      <alignment vertical="bottom"/>
    </xf>
    <xf borderId="0" fillId="0" fontId="7" numFmtId="0" xfId="0" applyAlignment="1" applyFont="1">
      <alignment shrinkToFit="0" vertical="bottom" wrapText="1"/>
    </xf>
    <xf borderId="0" fillId="2" fontId="2" numFmtId="165" xfId="0" applyAlignment="1" applyFont="1" applyNumberFormat="1">
      <alignment vertical="bottom"/>
    </xf>
    <xf borderId="0" fillId="2" fontId="3" numFmtId="10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8" numFmtId="0" xfId="0" applyAlignment="1" applyFont="1">
      <alignment shrinkToFit="0" vertical="bottom" wrapText="1"/>
    </xf>
    <xf borderId="0" fillId="2" fontId="3" numFmtId="165" xfId="0" applyAlignment="1" applyFont="1" applyNumberFormat="1">
      <alignment horizontal="right" shrinkToFit="0" vertical="bottom" wrapText="1"/>
    </xf>
    <xf borderId="0" fillId="2" fontId="3" numFmtId="165" xfId="0" applyAlignment="1" applyFont="1" applyNumberFormat="1">
      <alignment horizontal="right" readingOrder="0" shrinkToFit="0" vertical="bottom" wrapText="1"/>
    </xf>
    <xf borderId="0" fillId="0" fontId="8" numFmtId="0" xfId="0" applyAlignment="1" applyFont="1">
      <alignment readingOrder="0" shrinkToFit="0" vertical="bottom" wrapText="1"/>
    </xf>
    <xf borderId="1" fillId="2" fontId="8" numFmtId="166" xfId="0" applyAlignment="1" applyBorder="1" applyFont="1" applyNumberFormat="1">
      <alignment horizontal="right" shrinkToFit="0" vertical="bottom" wrapText="1"/>
    </xf>
    <xf borderId="1" fillId="2" fontId="3" numFmtId="10" xfId="0" applyAlignment="1" applyBorder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2" fontId="8" numFmtId="166" xfId="0" applyAlignment="1" applyFont="1" applyNumberFormat="1">
      <alignment horizontal="right" shrinkToFit="0" vertical="bottom" wrapText="1"/>
    </xf>
    <xf borderId="0" fillId="0" fontId="9" numFmtId="0" xfId="0" applyAlignment="1" applyFont="1">
      <alignment readingOrder="0" shrinkToFit="0" vertical="bottom" wrapText="1"/>
    </xf>
    <xf borderId="2" fillId="2" fontId="3" numFmtId="165" xfId="0" applyAlignment="1" applyBorder="1" applyFont="1" applyNumberFormat="1">
      <alignment horizontal="right" readingOrder="0" shrinkToFit="0" vertical="bottom" wrapText="1"/>
    </xf>
    <xf borderId="2" fillId="2" fontId="8" numFmtId="166" xfId="0" applyAlignment="1" applyBorder="1" applyFont="1" applyNumberFormat="1">
      <alignment horizontal="right" shrinkToFit="0" vertical="bottom" wrapText="1"/>
    </xf>
    <xf borderId="2" fillId="2" fontId="3" numFmtId="165" xfId="0" applyAlignment="1" applyBorder="1" applyFont="1" applyNumberFormat="1">
      <alignment horizontal="right" shrinkToFit="0" vertical="bottom" wrapText="1"/>
    </xf>
    <xf borderId="0" fillId="2" fontId="3" numFmtId="10" xfId="0" applyAlignment="1" applyFont="1" applyNumberFormat="1">
      <alignment horizontal="right" shrinkToFit="0" vertical="bottom" wrapText="1"/>
    </xf>
    <xf borderId="1" fillId="2" fontId="3" numFmtId="10" xfId="0" applyAlignment="1" applyBorder="1" applyFont="1" applyNumberFormat="1">
      <alignment horizontal="right" shrinkToFit="0" vertical="bottom" wrapText="1"/>
    </xf>
    <xf borderId="3" fillId="2" fontId="3" numFmtId="10" xfId="0" applyAlignment="1" applyBorder="1" applyFont="1" applyNumberFormat="1">
      <alignment vertical="bottom"/>
    </xf>
    <xf borderId="2" fillId="2" fontId="3" numFmtId="10" xfId="0" applyAlignment="1" applyBorder="1" applyFont="1" applyNumberFormat="1">
      <alignment vertical="bottom"/>
    </xf>
    <xf borderId="0" fillId="2" fontId="10" numFmtId="165" xfId="0" applyAlignment="1" applyFont="1" applyNumberFormat="1">
      <alignment horizontal="right" readingOrder="0"/>
    </xf>
    <xf borderId="0" fillId="0" fontId="11" numFmtId="0" xfId="0" applyAlignment="1" applyFont="1">
      <alignment horizontal="right" shrinkToFit="0" vertical="bottom" wrapText="1"/>
    </xf>
    <xf borderId="0" fillId="3" fontId="12" numFmtId="165" xfId="0" applyAlignment="1" applyFill="1" applyFont="1" applyNumberFormat="1">
      <alignment vertical="bottom"/>
    </xf>
    <xf borderId="0" fillId="4" fontId="2" numFmtId="0" xfId="0" applyAlignment="1" applyFill="1" applyFont="1">
      <alignment vertical="bottom"/>
    </xf>
    <xf borderId="0" fillId="4" fontId="3" numFmtId="10" xfId="0" applyAlignment="1" applyFont="1" applyNumberFormat="1">
      <alignment vertical="bottom"/>
    </xf>
    <xf borderId="0" fillId="4" fontId="5" numFmtId="0" xfId="0" applyAlignment="1" applyFont="1">
      <alignment horizontal="center" shrinkToFit="0" vertical="bottom" wrapText="1"/>
    </xf>
    <xf borderId="0" fillId="4" fontId="6" numFmtId="49" xfId="0" applyAlignment="1" applyFont="1" applyNumberFormat="1">
      <alignment horizontal="center" vertical="bottom"/>
    </xf>
    <xf borderId="0" fillId="4" fontId="3" numFmtId="10" xfId="0" applyAlignment="1" applyFont="1" applyNumberFormat="1">
      <alignment horizontal="center" vertical="bottom"/>
    </xf>
    <xf borderId="0" fillId="4" fontId="2" numFmtId="49" xfId="0" applyAlignment="1" applyFont="1" applyNumberFormat="1">
      <alignment vertical="bottom"/>
    </xf>
    <xf borderId="0" fillId="4" fontId="3" numFmtId="49" xfId="0" applyAlignment="1" applyFont="1" applyNumberFormat="1">
      <alignment vertical="bottom"/>
    </xf>
    <xf borderId="0" fillId="4" fontId="8" numFmtId="0" xfId="0" applyAlignment="1" applyFont="1">
      <alignment shrinkToFit="0" vertical="bottom" wrapText="1"/>
    </xf>
    <xf borderId="0" fillId="4" fontId="2" numFmtId="165" xfId="0" applyAlignment="1" applyFont="1" applyNumberFormat="1">
      <alignment vertical="bottom"/>
    </xf>
    <xf borderId="0" fillId="4" fontId="3" numFmtId="165" xfId="0" applyAlignment="1" applyFont="1" applyNumberFormat="1">
      <alignment vertical="bottom"/>
    </xf>
    <xf borderId="0" fillId="4" fontId="3" numFmtId="165" xfId="0" applyAlignment="1" applyFont="1" applyNumberFormat="1">
      <alignment horizontal="right" shrinkToFit="0" vertical="bottom" wrapText="1"/>
    </xf>
    <xf borderId="0" fillId="4" fontId="8" numFmtId="166" xfId="0" applyAlignment="1" applyFont="1" applyNumberFormat="1">
      <alignment horizontal="right" shrinkToFit="0" vertical="bottom" wrapText="1"/>
    </xf>
    <xf borderId="0" fillId="4" fontId="2" numFmtId="166" xfId="0" applyAlignment="1" applyFont="1" applyNumberFormat="1">
      <alignment vertical="bottom"/>
    </xf>
    <xf borderId="0" fillId="4" fontId="3" numFmtId="166" xfId="0" applyAlignment="1" applyFont="1" applyNumberFormat="1">
      <alignment vertical="bottom"/>
    </xf>
    <xf borderId="0" fillId="4" fontId="13" numFmtId="166" xfId="0" applyAlignment="1" applyFont="1" applyNumberFormat="1">
      <alignment horizontal="right" shrinkToFit="0" vertical="bottom" wrapText="1"/>
    </xf>
    <xf borderId="0" fillId="0" fontId="14" numFmtId="0" xfId="0" applyFont="1"/>
    <xf borderId="0" fillId="0" fontId="14" numFmtId="166" xfId="0" applyFont="1" applyNumberFormat="1"/>
    <xf borderId="0" fillId="0" fontId="14" numFmtId="10" xfId="0" applyFont="1" applyNumberFormat="1"/>
    <xf borderId="0" fillId="0" fontId="14" numFmtId="165" xfId="0" applyFont="1" applyNumberFormat="1"/>
    <xf borderId="0" fillId="0" fontId="14" numFmtId="167" xfId="0" applyFont="1" applyNumberFormat="1"/>
    <xf borderId="0" fillId="0" fontId="14" numFmtId="49" xfId="0" applyFont="1" applyNumberFormat="1"/>
    <xf borderId="0" fillId="4" fontId="15" numFmtId="0" xfId="0" applyAlignment="1" applyFont="1">
      <alignment vertical="bottom"/>
    </xf>
    <xf borderId="0" fillId="4" fontId="15" numFmtId="167" xfId="0" applyAlignment="1" applyFont="1" applyNumberFormat="1">
      <alignment horizontal="right" vertical="bottom"/>
    </xf>
    <xf borderId="0" fillId="4" fontId="14" numFmtId="0" xfId="0" applyFont="1"/>
    <xf borderId="0" fillId="4" fontId="2" numFmtId="167" xfId="0" applyAlignment="1" applyFont="1" applyNumberFormat="1">
      <alignment horizontal="right" vertical="bottom"/>
    </xf>
    <xf borderId="0" fillId="4" fontId="3" numFmtId="10" xfId="0" applyAlignment="1" applyFont="1" applyNumberFormat="1">
      <alignment horizontal="right" shrinkToFit="0" vertical="bottom" wrapText="1"/>
    </xf>
    <xf borderId="0" fillId="4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57"/>
    <col customWidth="1" min="3" max="3" width="10.29"/>
    <col customWidth="1" min="4" max="4" width="5.29"/>
    <col customWidth="1" min="8" max="8" width="9.14"/>
    <col customWidth="1" min="9" max="9" width="28.57"/>
    <col customWidth="1" min="10" max="10" width="12.57"/>
  </cols>
  <sheetData>
    <row r="1">
      <c r="A1" s="1" t="s">
        <v>0</v>
      </c>
      <c r="B1" s="2"/>
      <c r="C1" s="3"/>
      <c r="D1" s="2"/>
      <c r="E1" s="4"/>
      <c r="F1" s="4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3"/>
      <c r="D2" s="2"/>
      <c r="E2" s="4"/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>
        <v>44927.0</v>
      </c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2"/>
      <c r="B5" s="6" t="s">
        <v>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2"/>
      <c r="B6" s="7" t="s">
        <v>3</v>
      </c>
      <c r="C6" s="8" t="s">
        <v>4</v>
      </c>
      <c r="D6" s="9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0" t="s">
        <v>5</v>
      </c>
      <c r="B7" s="11"/>
      <c r="C7" s="12"/>
      <c r="D7" s="1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idden="1">
      <c r="A8" s="14" t="s">
        <v>6</v>
      </c>
      <c r="B8" s="15" t="str">
        <f t="shared" ref="B8:B9" si="1">((#REF!)+(#REF!))+(#REF!)</f>
        <v>#REF!</v>
      </c>
      <c r="C8" s="12"/>
      <c r="D8" s="1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idden="1">
      <c r="A9" s="14" t="s">
        <v>7</v>
      </c>
      <c r="B9" s="15" t="str">
        <f t="shared" si="1"/>
        <v>#REF!</v>
      </c>
      <c r="C9" s="12"/>
      <c r="D9" s="1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4" t="s">
        <v>8</v>
      </c>
      <c r="B10" s="16">
        <v>250000.0</v>
      </c>
      <c r="C10" s="12"/>
      <c r="D10" s="1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14" t="s">
        <v>9</v>
      </c>
      <c r="B11" s="16">
        <v>20000.0</v>
      </c>
      <c r="C11" s="12"/>
      <c r="D11" s="1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17" t="s">
        <v>10</v>
      </c>
      <c r="B12" s="16">
        <v>5000.0</v>
      </c>
      <c r="C12" s="12"/>
      <c r="D12" s="1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14" t="s">
        <v>11</v>
      </c>
      <c r="B13" s="18">
        <f>SUM(B10-B11+B12)</f>
        <v>235000</v>
      </c>
      <c r="C13" s="19"/>
      <c r="D13" s="2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idden="1">
      <c r="A14" s="14" t="s">
        <v>12</v>
      </c>
      <c r="B14" s="21" t="str">
        <f>((#REF!)+(#REF!))+(#REF!)</f>
        <v>#REF!</v>
      </c>
      <c r="C14" s="12"/>
      <c r="D14" s="20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4" t="s">
        <v>13</v>
      </c>
      <c r="B15" s="11"/>
      <c r="C15" s="12"/>
      <c r="D15" s="1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2" t="s">
        <v>14</v>
      </c>
      <c r="B16" s="15"/>
      <c r="C16" s="12"/>
      <c r="D16" s="1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4" t="s">
        <v>15</v>
      </c>
      <c r="B17" s="16">
        <v>50000.0</v>
      </c>
      <c r="C17" s="12">
        <f t="shared" ref="C17:C21" si="2">B17/$B$13</f>
        <v>0.2127659574</v>
      </c>
      <c r="D17" s="1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idden="1">
      <c r="A18" s="14" t="s">
        <v>16</v>
      </c>
      <c r="B18" s="15" t="str">
        <f t="shared" ref="B18:B19" si="3">((#REF!)+(#REF!))+(#REF!)</f>
        <v>#REF!</v>
      </c>
      <c r="C18" s="12" t="str">
        <f t="shared" si="2"/>
        <v>#REF!</v>
      </c>
      <c r="D18" s="1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idden="1">
      <c r="A19" s="14" t="s">
        <v>17</v>
      </c>
      <c r="B19" s="15" t="str">
        <f t="shared" si="3"/>
        <v>#REF!</v>
      </c>
      <c r="C19" s="12" t="str">
        <f t="shared" si="2"/>
        <v>#REF!</v>
      </c>
      <c r="D19" s="1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14" t="s">
        <v>18</v>
      </c>
      <c r="B20" s="23">
        <v>3000.0</v>
      </c>
      <c r="C20" s="12">
        <f t="shared" si="2"/>
        <v>0.01276595745</v>
      </c>
      <c r="D20" s="1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14" t="s">
        <v>19</v>
      </c>
      <c r="B21" s="24">
        <f>SUM(B17+B20)</f>
        <v>53000</v>
      </c>
      <c r="C21" s="19">
        <f t="shared" si="2"/>
        <v>0.2255319149</v>
      </c>
      <c r="D21" s="2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10" t="s">
        <v>20</v>
      </c>
      <c r="B22" s="15"/>
      <c r="C22" s="12"/>
      <c r="D22" s="1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14" t="s">
        <v>21</v>
      </c>
      <c r="B23" s="15"/>
      <c r="C23" s="12"/>
      <c r="D23" s="1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4" t="s">
        <v>22</v>
      </c>
      <c r="B24" s="16"/>
      <c r="C24" s="12">
        <f t="shared" ref="C24:C25" si="4">B24/$B$13</f>
        <v>0</v>
      </c>
      <c r="D24" s="1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14" t="s">
        <v>23</v>
      </c>
      <c r="B25" s="18">
        <f>SUM(B24)</f>
        <v>0</v>
      </c>
      <c r="C25" s="19">
        <f t="shared" si="4"/>
        <v>0</v>
      </c>
      <c r="D25" s="20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14" t="s">
        <v>24</v>
      </c>
      <c r="B26" s="15"/>
      <c r="C26" s="12"/>
      <c r="D26" s="1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14" t="s">
        <v>25</v>
      </c>
      <c r="B27" s="16">
        <v>25000.0</v>
      </c>
      <c r="C27" s="12">
        <f t="shared" ref="C27:C33" si="5">B27/$B$13</f>
        <v>0.1063829787</v>
      </c>
      <c r="D27" s="1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14" t="s">
        <v>26</v>
      </c>
      <c r="B28" s="15"/>
      <c r="C28" s="12">
        <f t="shared" si="5"/>
        <v>0</v>
      </c>
      <c r="D28" s="1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14" t="s">
        <v>27</v>
      </c>
      <c r="B29" s="25"/>
      <c r="C29" s="12">
        <f t="shared" si="5"/>
        <v>0</v>
      </c>
      <c r="D29" s="1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14" t="s">
        <v>28</v>
      </c>
      <c r="B30" s="24">
        <f>SUM(B27:B29)</f>
        <v>25000</v>
      </c>
      <c r="C30" s="19">
        <f t="shared" si="5"/>
        <v>0.1063829787</v>
      </c>
      <c r="D30" s="20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14" t="s">
        <v>29</v>
      </c>
      <c r="B31" s="16">
        <v>4000.0</v>
      </c>
      <c r="C31" s="12">
        <f t="shared" si="5"/>
        <v>0.0170212766</v>
      </c>
      <c r="D31" s="1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14" t="s">
        <v>30</v>
      </c>
      <c r="B32" s="16">
        <v>5000.0</v>
      </c>
      <c r="C32" s="12">
        <f t="shared" si="5"/>
        <v>0.02127659574</v>
      </c>
      <c r="D32" s="1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14" t="s">
        <v>31</v>
      </c>
      <c r="B33" s="16">
        <v>10000.0</v>
      </c>
      <c r="C33" s="12">
        <f t="shared" si="5"/>
        <v>0.04255319149</v>
      </c>
      <c r="D33" s="1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4" t="s">
        <v>32</v>
      </c>
      <c r="B34" s="15"/>
      <c r="C34" s="12"/>
      <c r="D34" s="1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14" t="s">
        <v>33</v>
      </c>
      <c r="B35" s="16">
        <v>15000.0</v>
      </c>
      <c r="C35" s="12">
        <f t="shared" ref="C35:C38" si="6">B35/$B$13</f>
        <v>0.06382978723</v>
      </c>
      <c r="D35" s="1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14" t="s">
        <v>34</v>
      </c>
      <c r="B36" s="16">
        <v>7000.0</v>
      </c>
      <c r="C36" s="26">
        <f t="shared" si="6"/>
        <v>0.02978723404</v>
      </c>
      <c r="D36" s="1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14" t="s">
        <v>35</v>
      </c>
      <c r="B37" s="18">
        <f>SUM(B35,B36)</f>
        <v>22000</v>
      </c>
      <c r="C37" s="27">
        <f t="shared" si="6"/>
        <v>0.09361702128</v>
      </c>
      <c r="D37" s="2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14" t="s">
        <v>36</v>
      </c>
      <c r="B38" s="18">
        <f>SUM(B25,B30,B37,B31,B32)</f>
        <v>56000</v>
      </c>
      <c r="C38" s="19">
        <f t="shared" si="6"/>
        <v>0.2382978723</v>
      </c>
      <c r="D38" s="20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10" t="s">
        <v>37</v>
      </c>
      <c r="B39" s="15"/>
      <c r="C39" s="12"/>
      <c r="D39" s="1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14" t="s">
        <v>38</v>
      </c>
      <c r="B40" s="15"/>
      <c r="C40" s="12">
        <f t="shared" ref="C40:C47" si="7">B40/$B$13</f>
        <v>0</v>
      </c>
      <c r="D40" s="1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14" t="s">
        <v>39</v>
      </c>
      <c r="B41" s="15"/>
      <c r="C41" s="12">
        <f t="shared" si="7"/>
        <v>0</v>
      </c>
      <c r="D41" s="1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14" t="s">
        <v>40</v>
      </c>
      <c r="B42" s="15"/>
      <c r="C42" s="12">
        <f t="shared" si="7"/>
        <v>0</v>
      </c>
      <c r="D42" s="1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14" t="s">
        <v>41</v>
      </c>
      <c r="B43" s="15"/>
      <c r="C43" s="12">
        <f t="shared" si="7"/>
        <v>0</v>
      </c>
      <c r="D43" s="1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14" t="s">
        <v>42</v>
      </c>
      <c r="B44" s="15"/>
      <c r="C44" s="12">
        <f t="shared" si="7"/>
        <v>0</v>
      </c>
      <c r="D44" s="1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17" t="s">
        <v>43</v>
      </c>
      <c r="B45" s="15"/>
      <c r="C45" s="12">
        <f t="shared" si="7"/>
        <v>0</v>
      </c>
      <c r="D45" s="1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17" t="s">
        <v>44</v>
      </c>
      <c r="B46" s="16">
        <v>5000.0</v>
      </c>
      <c r="C46" s="12">
        <f t="shared" si="7"/>
        <v>0.02127659574</v>
      </c>
      <c r="D46" s="1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14" t="s">
        <v>45</v>
      </c>
      <c r="B47" s="18">
        <f>SUM(B40:B46)</f>
        <v>5000</v>
      </c>
      <c r="C47" s="28">
        <f t="shared" si="7"/>
        <v>0.02127659574</v>
      </c>
      <c r="D47" s="20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14"/>
      <c r="B48" s="15"/>
      <c r="C48" s="28"/>
      <c r="D48" s="1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14" t="s">
        <v>46</v>
      </c>
      <c r="B49" s="18">
        <f>SUM(B47+B21+B38)</f>
        <v>114000</v>
      </c>
      <c r="C49" s="27">
        <f t="shared" ref="C49:C50" si="8">B49/$B$13</f>
        <v>0.485106383</v>
      </c>
      <c r="D49" s="20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14" t="s">
        <v>47</v>
      </c>
      <c r="B50" s="24">
        <f>SUM(B13-B49)</f>
        <v>121000</v>
      </c>
      <c r="C50" s="29">
        <f t="shared" si="8"/>
        <v>0.514893617</v>
      </c>
      <c r="D50" s="20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14" t="s">
        <v>48</v>
      </c>
      <c r="B51" s="11"/>
      <c r="C51" s="12"/>
      <c r="D51" s="1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14" t="s">
        <v>49</v>
      </c>
      <c r="B52" s="16">
        <v>3000.0</v>
      </c>
      <c r="C52" s="12">
        <f t="shared" ref="C52:C58" si="9">B52/$B$13</f>
        <v>0.01276595745</v>
      </c>
      <c r="D52" s="1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14" t="s">
        <v>50</v>
      </c>
      <c r="B53" s="16">
        <v>5000.0</v>
      </c>
      <c r="C53" s="12">
        <f t="shared" si="9"/>
        <v>0.02127659574</v>
      </c>
      <c r="D53" s="1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14" t="s">
        <v>51</v>
      </c>
      <c r="B54" s="15"/>
      <c r="C54" s="12">
        <f t="shared" si="9"/>
        <v>0</v>
      </c>
      <c r="D54" s="1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17" t="s">
        <v>52</v>
      </c>
      <c r="B55" s="15"/>
      <c r="C55" s="12">
        <f t="shared" si="9"/>
        <v>0</v>
      </c>
      <c r="D55" s="1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14" t="s">
        <v>53</v>
      </c>
      <c r="B56" s="30">
        <v>10000.0</v>
      </c>
      <c r="C56" s="12">
        <f t="shared" si="9"/>
        <v>0.04255319149</v>
      </c>
      <c r="D56" s="1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14" t="s">
        <v>54</v>
      </c>
      <c r="B57" s="18">
        <f>SUM(B52+B53+B54+B55+B56+B33)</f>
        <v>28000</v>
      </c>
      <c r="C57" s="27">
        <f t="shared" si="9"/>
        <v>0.1191489362</v>
      </c>
      <c r="D57" s="20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14" t="s">
        <v>55</v>
      </c>
      <c r="B58" s="21">
        <f>SUM(B50-B57)</f>
        <v>93000</v>
      </c>
      <c r="C58" s="12">
        <f t="shared" si="9"/>
        <v>0.3957446809</v>
      </c>
      <c r="D58" s="20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31" t="s">
        <v>56</v>
      </c>
      <c r="B59" s="32">
        <f>B58*0.37</f>
        <v>34410</v>
      </c>
      <c r="C59" s="3"/>
      <c r="D59" s="1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33"/>
      <c r="B62" s="33"/>
      <c r="C62" s="34"/>
      <c r="D62" s="33"/>
      <c r="E62" s="33"/>
      <c r="F62" s="33"/>
      <c r="G62" s="33"/>
      <c r="H62" s="33"/>
      <c r="I62" s="33"/>
      <c r="J62" s="3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33"/>
      <c r="B63" s="35"/>
      <c r="D63" s="33"/>
      <c r="E63" s="33"/>
      <c r="F63" s="33"/>
      <c r="G63" s="33"/>
      <c r="H63" s="33"/>
      <c r="I63" s="33"/>
      <c r="J63" s="3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33"/>
      <c r="B64" s="36"/>
      <c r="C64" s="37"/>
      <c r="D64" s="38"/>
      <c r="E64" s="39"/>
      <c r="F64" s="39"/>
      <c r="G64" s="39"/>
      <c r="H64" s="33"/>
      <c r="I64" s="33"/>
      <c r="J64" s="33"/>
      <c r="K64" s="33"/>
      <c r="L64" s="33"/>
      <c r="M64" s="3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0"/>
      <c r="B65" s="41"/>
      <c r="C65" s="34"/>
      <c r="D65" s="41"/>
      <c r="E65" s="42"/>
      <c r="F65" s="42"/>
      <c r="G65" s="42"/>
      <c r="H65" s="33"/>
      <c r="I65" s="33"/>
      <c r="J65" s="33"/>
      <c r="K65" s="33"/>
      <c r="L65" s="33"/>
      <c r="M65" s="3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idden="1">
      <c r="A66" s="40"/>
      <c r="B66" s="43"/>
      <c r="C66" s="34"/>
      <c r="D66" s="41"/>
      <c r="E66" s="42"/>
      <c r="F66" s="42"/>
      <c r="G66" s="42"/>
      <c r="H66" s="33"/>
      <c r="I66" s="33"/>
      <c r="J66" s="33"/>
      <c r="K66" s="33"/>
      <c r="L66" s="33"/>
      <c r="M66" s="3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40"/>
      <c r="B67" s="43"/>
      <c r="C67" s="34"/>
      <c r="D67" s="41"/>
      <c r="E67" s="42"/>
      <c r="F67" s="42"/>
      <c r="G67" s="42"/>
      <c r="H67" s="33"/>
      <c r="I67" s="33"/>
      <c r="J67" s="33"/>
      <c r="K67" s="33"/>
      <c r="L67" s="33"/>
      <c r="M67" s="3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0"/>
      <c r="B68" s="43"/>
      <c r="C68" s="34"/>
      <c r="D68" s="41"/>
      <c r="E68" s="42"/>
      <c r="F68" s="42"/>
      <c r="G68" s="42"/>
      <c r="H68" s="33"/>
      <c r="I68" s="33"/>
      <c r="J68" s="33"/>
      <c r="K68" s="33"/>
      <c r="L68" s="33"/>
      <c r="M68" s="3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0"/>
      <c r="B69" s="43"/>
      <c r="C69" s="34"/>
      <c r="D69" s="41"/>
      <c r="E69" s="42"/>
      <c r="F69" s="42"/>
      <c r="G69" s="42"/>
      <c r="H69" s="33"/>
      <c r="I69" s="33"/>
      <c r="J69" s="33"/>
      <c r="K69" s="33"/>
      <c r="L69" s="33"/>
      <c r="M69" s="3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idden="1">
      <c r="A70" s="40"/>
      <c r="B70" s="43"/>
      <c r="C70" s="34"/>
      <c r="D70" s="41"/>
      <c r="E70" s="42"/>
      <c r="F70" s="42"/>
      <c r="G70" s="42"/>
      <c r="H70" s="33"/>
      <c r="I70" s="33"/>
      <c r="J70" s="33"/>
      <c r="K70" s="33"/>
      <c r="L70" s="33"/>
      <c r="M70" s="3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idden="1">
      <c r="A71" s="40"/>
      <c r="B71" s="43"/>
      <c r="C71" s="34"/>
      <c r="D71" s="41"/>
      <c r="E71" s="42"/>
      <c r="F71" s="42"/>
      <c r="G71" s="42"/>
      <c r="H71" s="33"/>
      <c r="I71" s="33"/>
      <c r="J71" s="33"/>
      <c r="K71" s="33"/>
      <c r="L71" s="33"/>
      <c r="M71" s="3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0"/>
      <c r="B72" s="44"/>
      <c r="C72" s="34"/>
      <c r="D72" s="45"/>
      <c r="E72" s="46"/>
      <c r="F72" s="47"/>
      <c r="G72" s="46"/>
      <c r="H72" s="33"/>
      <c r="I72" s="33"/>
      <c r="J72" s="33"/>
      <c r="K72" s="33"/>
      <c r="L72" s="33"/>
      <c r="M72" s="3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8"/>
      <c r="B73" s="49"/>
      <c r="C73" s="50"/>
      <c r="D73" s="49"/>
      <c r="E73" s="49"/>
      <c r="F73" s="49"/>
      <c r="G73" s="49"/>
      <c r="H73" s="48"/>
      <c r="I73" s="48"/>
      <c r="J73" s="48"/>
      <c r="K73" s="48"/>
      <c r="L73" s="33"/>
      <c r="M73" s="33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8"/>
      <c r="B74" s="51"/>
      <c r="C74" s="50"/>
      <c r="D74" s="51"/>
      <c r="E74" s="51"/>
      <c r="F74" s="51"/>
      <c r="G74" s="51"/>
      <c r="H74" s="48"/>
      <c r="I74" s="48"/>
      <c r="J74" s="48"/>
      <c r="K74" s="48"/>
      <c r="L74" s="33"/>
      <c r="M74" s="33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8"/>
      <c r="B75" s="51"/>
      <c r="C75" s="50"/>
      <c r="D75" s="51"/>
      <c r="E75" s="51"/>
      <c r="F75" s="51"/>
      <c r="G75" s="51"/>
      <c r="H75" s="48"/>
      <c r="I75" s="48"/>
      <c r="J75" s="48"/>
      <c r="K75" s="48"/>
      <c r="L75" s="33"/>
      <c r="M75" s="33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8"/>
      <c r="B76" s="51"/>
      <c r="C76" s="50"/>
      <c r="D76" s="51"/>
      <c r="E76" s="51"/>
      <c r="F76" s="51"/>
      <c r="G76" s="51"/>
      <c r="H76" s="48"/>
      <c r="I76" s="48"/>
      <c r="J76" s="48"/>
      <c r="K76" s="48"/>
      <c r="L76" s="33"/>
      <c r="M76" s="33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8"/>
      <c r="B77" s="51"/>
      <c r="C77" s="50"/>
      <c r="D77" s="51"/>
      <c r="E77" s="51"/>
      <c r="F77" s="51"/>
      <c r="G77" s="51"/>
      <c r="H77" s="48"/>
      <c r="I77" s="48"/>
      <c r="J77" s="48"/>
      <c r="K77" s="48"/>
      <c r="L77" s="33"/>
      <c r="M77" s="3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idden="1">
      <c r="A78" s="48"/>
      <c r="B78" s="51"/>
      <c r="C78" s="50"/>
      <c r="D78" s="51"/>
      <c r="E78" s="51"/>
      <c r="F78" s="51"/>
      <c r="G78" s="51"/>
      <c r="H78" s="48"/>
      <c r="I78" s="48"/>
      <c r="J78" s="48"/>
      <c r="K78" s="48"/>
      <c r="L78" s="33"/>
      <c r="M78" s="3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idden="1">
      <c r="A79" s="48"/>
      <c r="B79" s="51"/>
      <c r="C79" s="50"/>
      <c r="D79" s="51"/>
      <c r="E79" s="51"/>
      <c r="F79" s="51"/>
      <c r="G79" s="51"/>
      <c r="H79" s="48"/>
      <c r="I79" s="48"/>
      <c r="J79" s="48"/>
      <c r="K79" s="48"/>
      <c r="L79" s="33"/>
      <c r="M79" s="3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8"/>
      <c r="B80" s="51"/>
      <c r="C80" s="50"/>
      <c r="D80" s="51"/>
      <c r="E80" s="51"/>
      <c r="F80" s="51"/>
      <c r="G80" s="51"/>
      <c r="H80" s="48"/>
      <c r="I80" s="48"/>
      <c r="J80" s="48"/>
      <c r="K80" s="48"/>
      <c r="L80" s="33"/>
      <c r="M80" s="33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8"/>
      <c r="B81" s="49"/>
      <c r="C81" s="50"/>
      <c r="D81" s="49"/>
      <c r="E81" s="49"/>
      <c r="F81" s="49"/>
      <c r="G81" s="49"/>
      <c r="H81" s="48"/>
      <c r="I81" s="48"/>
      <c r="J81" s="48"/>
      <c r="K81" s="48"/>
      <c r="L81" s="33"/>
      <c r="M81" s="33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8"/>
      <c r="B82" s="51"/>
      <c r="C82" s="50"/>
      <c r="D82" s="51"/>
      <c r="E82" s="51"/>
      <c r="F82" s="51"/>
      <c r="G82" s="51"/>
      <c r="H82" s="48"/>
      <c r="I82" s="48"/>
      <c r="J82" s="48"/>
      <c r="K82" s="48"/>
      <c r="L82" s="33"/>
      <c r="M82" s="33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8"/>
      <c r="B83" s="51"/>
      <c r="C83" s="50"/>
      <c r="D83" s="51"/>
      <c r="E83" s="51"/>
      <c r="F83" s="51"/>
      <c r="G83" s="51"/>
      <c r="H83" s="48"/>
      <c r="I83" s="48"/>
      <c r="J83" s="52"/>
      <c r="K83" s="48"/>
      <c r="L83" s="33"/>
      <c r="M83" s="33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idden="1">
      <c r="A84" s="48"/>
      <c r="B84" s="51"/>
      <c r="C84" s="50"/>
      <c r="D84" s="51"/>
      <c r="E84" s="51"/>
      <c r="F84" s="51"/>
      <c r="G84" s="51"/>
      <c r="H84" s="48"/>
      <c r="I84" s="48"/>
      <c r="J84" s="48"/>
      <c r="K84" s="48"/>
      <c r="L84" s="33"/>
      <c r="M84" s="33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8"/>
      <c r="B85" s="51"/>
      <c r="C85" s="50"/>
      <c r="D85" s="51"/>
      <c r="E85" s="51"/>
      <c r="F85" s="51"/>
      <c r="G85" s="49"/>
      <c r="H85" s="48"/>
      <c r="I85" s="48"/>
      <c r="J85" s="48"/>
      <c r="K85" s="52"/>
      <c r="L85" s="33"/>
      <c r="M85" s="33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8"/>
      <c r="B86" s="49"/>
      <c r="C86" s="50"/>
      <c r="D86" s="49"/>
      <c r="E86" s="49"/>
      <c r="F86" s="49"/>
      <c r="G86" s="51"/>
      <c r="H86" s="48"/>
      <c r="I86" s="48"/>
      <c r="K86" s="52"/>
      <c r="L86" s="33"/>
      <c r="M86" s="33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8"/>
      <c r="B87" s="51"/>
      <c r="C87" s="50"/>
      <c r="D87" s="51"/>
      <c r="E87" s="51"/>
      <c r="F87" s="51"/>
      <c r="G87" s="51"/>
      <c r="H87" s="48"/>
      <c r="I87" s="48"/>
      <c r="K87" s="52"/>
      <c r="L87" s="33"/>
      <c r="M87" s="3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idden="1">
      <c r="A88" s="48"/>
      <c r="B88" s="51"/>
      <c r="C88" s="50"/>
      <c r="D88" s="51"/>
      <c r="E88" s="51"/>
      <c r="F88" s="51"/>
      <c r="G88" s="51"/>
      <c r="H88" s="48"/>
      <c r="I88" s="48"/>
      <c r="J88" s="48"/>
      <c r="K88" s="48"/>
      <c r="L88" s="33"/>
      <c r="M88" s="3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8"/>
      <c r="B89" s="51"/>
      <c r="C89" s="50"/>
      <c r="D89" s="51"/>
      <c r="E89" s="51"/>
      <c r="F89" s="51"/>
      <c r="G89" s="51"/>
      <c r="H89" s="48"/>
      <c r="I89" s="48"/>
      <c r="J89" s="48"/>
      <c r="K89" s="48"/>
      <c r="L89" s="33"/>
      <c r="M89" s="33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idden="1">
      <c r="A90" s="48"/>
      <c r="B90" s="51"/>
      <c r="C90" s="50"/>
      <c r="D90" s="51"/>
      <c r="E90" s="51"/>
      <c r="F90" s="51"/>
      <c r="G90" s="51"/>
      <c r="H90" s="48"/>
      <c r="I90" s="48"/>
      <c r="J90" s="48"/>
      <c r="K90" s="48"/>
      <c r="L90" s="33"/>
      <c r="M90" s="3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8"/>
      <c r="B91" s="51"/>
      <c r="C91" s="50"/>
      <c r="D91" s="51"/>
      <c r="E91" s="51"/>
      <c r="F91" s="51"/>
      <c r="G91" s="51"/>
      <c r="H91" s="48"/>
      <c r="I91" s="48"/>
      <c r="J91" s="48"/>
      <c r="K91" s="48"/>
      <c r="L91" s="33"/>
      <c r="M91" s="3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8"/>
      <c r="B92" s="51"/>
      <c r="C92" s="50"/>
      <c r="D92" s="51"/>
      <c r="E92" s="51"/>
      <c r="F92" s="51"/>
      <c r="G92" s="51"/>
      <c r="H92" s="48"/>
      <c r="I92" s="48"/>
      <c r="J92" s="48"/>
      <c r="K92" s="48"/>
      <c r="L92" s="33"/>
      <c r="M92" s="3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8"/>
      <c r="B93" s="51"/>
      <c r="C93" s="50"/>
      <c r="D93" s="51"/>
      <c r="E93" s="51"/>
      <c r="F93" s="51"/>
      <c r="G93" s="49"/>
      <c r="H93" s="48"/>
      <c r="I93" s="48"/>
      <c r="J93" s="48"/>
      <c r="K93" s="48"/>
      <c r="L93" s="33"/>
      <c r="M93" s="3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8"/>
      <c r="B94" s="49"/>
      <c r="C94" s="50"/>
      <c r="D94" s="49"/>
      <c r="E94" s="49"/>
      <c r="F94" s="49"/>
      <c r="G94" s="51"/>
      <c r="H94" s="48"/>
      <c r="I94" s="48"/>
      <c r="J94" s="48"/>
      <c r="K94" s="48"/>
      <c r="L94" s="33"/>
      <c r="M94" s="3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8"/>
      <c r="B95" s="51"/>
      <c r="C95" s="50"/>
      <c r="D95" s="51"/>
      <c r="E95" s="51"/>
      <c r="F95" s="51"/>
      <c r="G95" s="51"/>
      <c r="H95" s="48"/>
      <c r="I95" s="48"/>
      <c r="J95" s="48"/>
      <c r="K95" s="48"/>
      <c r="L95" s="33"/>
      <c r="M95" s="3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8"/>
      <c r="B96" s="51"/>
      <c r="C96" s="50"/>
      <c r="D96" s="51"/>
      <c r="E96" s="51"/>
      <c r="F96" s="51"/>
      <c r="G96" s="51"/>
      <c r="H96" s="48"/>
      <c r="I96" s="48"/>
      <c r="J96" s="48"/>
      <c r="K96" s="48"/>
      <c r="L96" s="33"/>
      <c r="M96" s="3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8"/>
      <c r="B97" s="51"/>
      <c r="C97" s="50"/>
      <c r="D97" s="51"/>
      <c r="E97" s="51"/>
      <c r="F97" s="51"/>
      <c r="G97" s="51"/>
      <c r="H97" s="48"/>
      <c r="I97" s="48"/>
      <c r="J97" s="48"/>
      <c r="K97" s="48"/>
      <c r="L97" s="33"/>
      <c r="M97" s="3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8"/>
      <c r="B98" s="51"/>
      <c r="C98" s="50"/>
      <c r="D98" s="51"/>
      <c r="E98" s="51"/>
      <c r="F98" s="51"/>
      <c r="G98" s="51"/>
      <c r="H98" s="48"/>
      <c r="I98" s="48"/>
      <c r="J98" s="48"/>
      <c r="K98" s="48"/>
      <c r="L98" s="33"/>
      <c r="M98" s="3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8"/>
      <c r="B99" s="51"/>
      <c r="C99" s="50"/>
      <c r="D99" s="51"/>
      <c r="E99" s="51"/>
      <c r="F99" s="51"/>
      <c r="G99" s="49"/>
      <c r="H99" s="48"/>
      <c r="I99" s="48"/>
      <c r="J99" s="48"/>
      <c r="K99" s="48"/>
      <c r="L99" s="33"/>
      <c r="M99" s="3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8"/>
      <c r="B100" s="49"/>
      <c r="C100" s="50"/>
      <c r="D100" s="49"/>
      <c r="E100" s="49"/>
      <c r="F100" s="49"/>
      <c r="G100" s="51"/>
      <c r="H100" s="48"/>
      <c r="I100" s="48"/>
      <c r="J100" s="48"/>
      <c r="K100" s="48"/>
      <c r="L100" s="33"/>
      <c r="M100" s="3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8"/>
      <c r="B101" s="51"/>
      <c r="C101" s="50"/>
      <c r="D101" s="51"/>
      <c r="E101" s="51"/>
      <c r="F101" s="51"/>
      <c r="G101" s="51"/>
      <c r="H101" s="48"/>
      <c r="I101" s="48"/>
      <c r="J101" s="48"/>
      <c r="K101" s="48"/>
      <c r="L101" s="33"/>
      <c r="M101" s="3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idden="1">
      <c r="A102" s="48"/>
      <c r="B102" s="51"/>
      <c r="C102" s="50"/>
      <c r="D102" s="51"/>
      <c r="E102" s="51"/>
      <c r="F102" s="51"/>
      <c r="G102" s="51"/>
      <c r="H102" s="48"/>
      <c r="I102" s="48"/>
      <c r="J102" s="48"/>
      <c r="K102" s="48"/>
      <c r="L102" s="33"/>
      <c r="M102" s="3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idden="1">
      <c r="A103" s="48"/>
      <c r="B103" s="51"/>
      <c r="C103" s="50"/>
      <c r="D103" s="51"/>
      <c r="E103" s="51"/>
      <c r="F103" s="51"/>
      <c r="G103" s="51"/>
      <c r="H103" s="48"/>
      <c r="I103" s="48"/>
      <c r="J103" s="48"/>
      <c r="K103" s="48"/>
      <c r="L103" s="33"/>
      <c r="M103" s="3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idden="1">
      <c r="A104" s="48"/>
      <c r="B104" s="51"/>
      <c r="C104" s="50"/>
      <c r="D104" s="51"/>
      <c r="E104" s="51"/>
      <c r="F104" s="51"/>
      <c r="G104" s="51"/>
      <c r="H104" s="48"/>
      <c r="I104" s="48"/>
      <c r="J104" s="48"/>
      <c r="K104" s="48"/>
      <c r="L104" s="33"/>
      <c r="M104" s="3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idden="1">
      <c r="A105" s="48"/>
      <c r="B105" s="51"/>
      <c r="C105" s="50"/>
      <c r="D105" s="51"/>
      <c r="E105" s="51"/>
      <c r="F105" s="51"/>
      <c r="G105" s="51"/>
      <c r="H105" s="48"/>
      <c r="I105" s="48"/>
      <c r="J105" s="48"/>
      <c r="K105" s="48"/>
      <c r="L105" s="33"/>
      <c r="M105" s="3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idden="1">
      <c r="A106" s="48"/>
      <c r="B106" s="51"/>
      <c r="C106" s="50"/>
      <c r="D106" s="51"/>
      <c r="E106" s="51"/>
      <c r="F106" s="51"/>
      <c r="G106" s="51"/>
      <c r="H106" s="48"/>
      <c r="I106" s="48"/>
      <c r="J106" s="48"/>
      <c r="K106" s="48"/>
      <c r="L106" s="33"/>
      <c r="M106" s="3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idden="1">
      <c r="A107" s="48"/>
      <c r="B107" s="51"/>
      <c r="C107" s="50"/>
      <c r="D107" s="51"/>
      <c r="E107" s="51"/>
      <c r="F107" s="51"/>
      <c r="G107" s="51"/>
      <c r="H107" s="48"/>
      <c r="I107" s="48"/>
      <c r="J107" s="48"/>
      <c r="K107" s="48"/>
      <c r="L107" s="33"/>
      <c r="M107" s="3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idden="1">
      <c r="A108" s="48"/>
      <c r="B108" s="51"/>
      <c r="C108" s="50"/>
      <c r="D108" s="51"/>
      <c r="E108" s="51"/>
      <c r="F108" s="51"/>
      <c r="G108" s="51"/>
      <c r="H108" s="48"/>
      <c r="I108" s="48"/>
      <c r="J108" s="48"/>
      <c r="K108" s="48"/>
      <c r="L108" s="33"/>
      <c r="M108" s="3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8"/>
      <c r="B109" s="51"/>
      <c r="C109" s="50"/>
      <c r="D109" s="51"/>
      <c r="E109" s="51"/>
      <c r="F109" s="51"/>
      <c r="G109" s="51"/>
      <c r="H109" s="48"/>
      <c r="I109" s="48"/>
      <c r="J109" s="48"/>
      <c r="K109" s="48"/>
      <c r="L109" s="33"/>
      <c r="M109" s="3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8"/>
      <c r="B110" s="51"/>
      <c r="C110" s="50"/>
      <c r="D110" s="51"/>
      <c r="E110" s="51"/>
      <c r="F110" s="51"/>
      <c r="G110" s="49"/>
      <c r="H110" s="48"/>
      <c r="I110" s="48"/>
      <c r="J110" s="48"/>
      <c r="K110" s="48"/>
      <c r="L110" s="33"/>
      <c r="M110" s="3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8"/>
      <c r="B111" s="49"/>
      <c r="C111" s="48"/>
      <c r="D111" s="33"/>
      <c r="E111" s="3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>
      <c r="A112" s="48"/>
      <c r="B112" s="49"/>
      <c r="C112" s="48"/>
      <c r="D112" s="33"/>
      <c r="E112" s="3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>
      <c r="A113" s="48"/>
      <c r="B113" s="51"/>
      <c r="C113" s="48"/>
      <c r="D113" s="33"/>
      <c r="E113" s="3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>
      <c r="A114" s="48"/>
      <c r="B114" s="51"/>
      <c r="C114" s="48"/>
      <c r="D114" s="33"/>
      <c r="E114" s="3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>
      <c r="A115" s="48"/>
      <c r="B115" s="51"/>
      <c r="C115" s="48"/>
      <c r="D115" s="33"/>
      <c r="E115" s="3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hidden="1">
      <c r="A116" s="48"/>
      <c r="B116" s="51"/>
      <c r="C116" s="48"/>
      <c r="D116" s="33"/>
      <c r="E116" s="3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hidden="1">
      <c r="A117" s="48"/>
      <c r="B117" s="51"/>
      <c r="C117" s="48"/>
      <c r="D117" s="33"/>
      <c r="E117" s="3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>
      <c r="A118" s="48"/>
      <c r="B118" s="51"/>
      <c r="C118" s="48"/>
      <c r="D118" s="33"/>
      <c r="E118" s="3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>
      <c r="A119" s="48"/>
      <c r="B119" s="51"/>
      <c r="C119" s="48"/>
      <c r="D119" s="33"/>
      <c r="E119" s="3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>
      <c r="A120" s="48"/>
      <c r="B120" s="51"/>
      <c r="C120" s="48"/>
      <c r="D120" s="33"/>
      <c r="E120" s="3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>
      <c r="A121" s="48"/>
      <c r="B121" s="51"/>
      <c r="C121" s="48"/>
      <c r="D121" s="33"/>
      <c r="E121" s="3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>
      <c r="A122" s="48"/>
      <c r="B122" s="51"/>
      <c r="C122" s="48"/>
      <c r="D122" s="33"/>
      <c r="E122" s="3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>
      <c r="A123" s="48"/>
      <c r="B123" s="49"/>
      <c r="C123" s="48"/>
      <c r="D123" s="33"/>
      <c r="E123" s="3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48"/>
      <c r="B124" s="51"/>
      <c r="C124" s="48"/>
      <c r="D124" s="33"/>
      <c r="E124" s="3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>
      <c r="A125" s="48"/>
      <c r="B125" s="51"/>
      <c r="C125" s="48"/>
      <c r="D125" s="33"/>
      <c r="E125" s="3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>
      <c r="A126" s="48"/>
      <c r="B126" s="51"/>
      <c r="C126" s="48"/>
      <c r="D126" s="33"/>
      <c r="E126" s="3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>
      <c r="A127" s="48"/>
      <c r="B127" s="51"/>
      <c r="C127" s="48"/>
      <c r="D127" s="33"/>
      <c r="E127" s="3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>
      <c r="A128" s="48"/>
      <c r="B128" s="51"/>
      <c r="C128" s="48"/>
      <c r="D128" s="33"/>
      <c r="E128" s="3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>
      <c r="A129" s="48"/>
      <c r="B129" s="51"/>
      <c r="C129" s="48"/>
      <c r="D129" s="33"/>
      <c r="E129" s="3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>
      <c r="A130" s="48"/>
      <c r="B130" s="51"/>
      <c r="C130" s="48"/>
      <c r="D130" s="33"/>
      <c r="E130" s="3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>
      <c r="A131" s="48"/>
      <c r="B131" s="51"/>
      <c r="C131" s="48"/>
      <c r="D131" s="33"/>
      <c r="E131" s="3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>
      <c r="A132" s="48"/>
      <c r="B132" s="51"/>
      <c r="C132" s="48"/>
      <c r="D132" s="33"/>
      <c r="E132" s="3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>
      <c r="A133" s="48"/>
      <c r="B133" s="51"/>
      <c r="C133" s="48"/>
      <c r="D133" s="33"/>
      <c r="E133" s="3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>
      <c r="A134" s="48"/>
      <c r="B134" s="49"/>
      <c r="C134" s="48"/>
      <c r="D134" s="33"/>
      <c r="E134" s="3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>
      <c r="A135" s="48"/>
      <c r="B135" s="51"/>
      <c r="C135" s="48"/>
      <c r="D135" s="33"/>
      <c r="E135" s="3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>
      <c r="A136" s="48"/>
      <c r="B136" s="49"/>
      <c r="C136" s="48"/>
      <c r="D136" s="33"/>
      <c r="E136" s="3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>
      <c r="A137" s="48"/>
      <c r="B137" s="51"/>
      <c r="C137" s="48"/>
      <c r="D137" s="33"/>
      <c r="E137" s="3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>
      <c r="A138" s="48"/>
      <c r="B138" s="51"/>
      <c r="C138" s="48"/>
      <c r="D138" s="33"/>
      <c r="E138" s="3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>
      <c r="A139" s="48"/>
      <c r="B139" s="49"/>
      <c r="C139" s="48"/>
      <c r="D139" s="33"/>
      <c r="E139" s="3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>
      <c r="A140" s="48"/>
      <c r="B140" s="49"/>
      <c r="C140" s="48"/>
      <c r="D140" s="33"/>
      <c r="E140" s="3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>
      <c r="A141" s="48"/>
      <c r="B141" s="48"/>
      <c r="C141" s="48"/>
      <c r="D141" s="33"/>
      <c r="E141" s="3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>
      <c r="A142" s="48"/>
      <c r="B142" s="48"/>
      <c r="C142" s="48"/>
      <c r="D142" s="33"/>
      <c r="E142" s="3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>
      <c r="A143" s="48"/>
      <c r="B143" s="48"/>
      <c r="C143" s="48"/>
      <c r="D143" s="33"/>
      <c r="E143" s="3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>
      <c r="A144" s="48"/>
      <c r="B144" s="48"/>
      <c r="C144" s="48"/>
      <c r="D144" s="33"/>
      <c r="E144" s="3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>
      <c r="A145" s="48"/>
      <c r="B145" s="53"/>
      <c r="C145" s="48"/>
      <c r="D145" s="33"/>
      <c r="E145" s="3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>
      <c r="A146" s="48"/>
      <c r="B146" s="51"/>
      <c r="C146" s="50"/>
      <c r="D146" s="51"/>
      <c r="E146" s="51"/>
      <c r="F146" s="51"/>
      <c r="G146" s="51"/>
      <c r="H146" s="48"/>
      <c r="I146" s="48"/>
      <c r="J146" s="48"/>
      <c r="K146" s="48"/>
      <c r="L146" s="33"/>
      <c r="M146" s="3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idden="1">
      <c r="A147" s="48"/>
      <c r="B147" s="51"/>
      <c r="C147" s="50"/>
      <c r="D147" s="51"/>
      <c r="E147" s="51"/>
      <c r="F147" s="51"/>
      <c r="G147" s="51"/>
      <c r="H147" s="48"/>
      <c r="I147" s="48"/>
      <c r="J147" s="48"/>
      <c r="K147" s="48"/>
      <c r="L147" s="33"/>
      <c r="M147" s="3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idden="1">
      <c r="A148" s="48"/>
      <c r="B148" s="51"/>
      <c r="C148" s="50"/>
      <c r="D148" s="51"/>
      <c r="E148" s="51"/>
      <c r="F148" s="51"/>
      <c r="G148" s="51"/>
      <c r="H148" s="48"/>
      <c r="I148" s="48"/>
      <c r="J148" s="48"/>
      <c r="K148" s="48"/>
      <c r="L148" s="33"/>
      <c r="M148" s="3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8"/>
      <c r="B149" s="51"/>
      <c r="C149" s="50"/>
      <c r="D149" s="51"/>
      <c r="E149" s="51"/>
      <c r="F149" s="51"/>
      <c r="G149" s="51"/>
      <c r="H149" s="48"/>
      <c r="I149" s="48"/>
      <c r="J149" s="48"/>
      <c r="K149" s="48"/>
      <c r="L149" s="33"/>
      <c r="M149" s="3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8"/>
      <c r="B150" s="51"/>
      <c r="C150" s="50"/>
      <c r="D150" s="51"/>
      <c r="E150" s="51"/>
      <c r="F150" s="51"/>
      <c r="G150" s="51"/>
      <c r="H150" s="48"/>
      <c r="I150" s="48"/>
      <c r="J150" s="48"/>
      <c r="K150" s="48"/>
      <c r="L150" s="33"/>
      <c r="M150" s="3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idden="1">
      <c r="A151" s="48"/>
      <c r="B151" s="51"/>
      <c r="C151" s="50"/>
      <c r="D151" s="51"/>
      <c r="E151" s="51"/>
      <c r="F151" s="51"/>
      <c r="G151" s="51"/>
      <c r="H151" s="48"/>
      <c r="I151" s="48"/>
      <c r="J151" s="48"/>
      <c r="K151" s="48"/>
      <c r="L151" s="33"/>
      <c r="M151" s="3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idden="1">
      <c r="A152" s="48"/>
      <c r="B152" s="51"/>
      <c r="C152" s="50"/>
      <c r="D152" s="51"/>
      <c r="E152" s="51"/>
      <c r="F152" s="51"/>
      <c r="G152" s="49"/>
      <c r="H152" s="48"/>
      <c r="I152" s="48"/>
      <c r="J152" s="48"/>
      <c r="K152" s="48"/>
      <c r="L152" s="33"/>
      <c r="M152" s="3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8"/>
      <c r="B153" s="49"/>
      <c r="C153" s="50"/>
      <c r="D153" s="49"/>
      <c r="E153" s="49"/>
      <c r="F153" s="49"/>
      <c r="G153" s="49"/>
      <c r="H153" s="48"/>
      <c r="I153" s="48"/>
      <c r="J153" s="48"/>
      <c r="K153" s="48"/>
      <c r="L153" s="33"/>
      <c r="M153" s="3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8"/>
      <c r="B154" s="49"/>
      <c r="C154" s="50"/>
      <c r="D154" s="49"/>
      <c r="E154" s="49"/>
      <c r="F154" s="49"/>
      <c r="G154" s="51"/>
      <c r="H154" s="48"/>
      <c r="I154" s="48"/>
      <c r="J154" s="48"/>
      <c r="K154" s="48"/>
      <c r="L154" s="33"/>
      <c r="M154" s="3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8"/>
      <c r="B155" s="51"/>
      <c r="C155" s="50"/>
      <c r="D155" s="51"/>
      <c r="E155" s="51"/>
      <c r="F155" s="51"/>
      <c r="G155" s="51"/>
      <c r="H155" s="48"/>
      <c r="I155" s="48"/>
      <c r="J155" s="48"/>
      <c r="K155" s="48"/>
      <c r="L155" s="33"/>
      <c r="M155" s="3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8"/>
      <c r="B156" s="51"/>
      <c r="C156" s="50"/>
      <c r="D156" s="51"/>
      <c r="E156" s="51"/>
      <c r="F156" s="51"/>
      <c r="G156" s="51"/>
      <c r="H156" s="48"/>
      <c r="I156" s="48"/>
      <c r="J156" s="48"/>
      <c r="K156" s="48"/>
      <c r="L156" s="33"/>
      <c r="M156" s="3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8"/>
      <c r="B157" s="51"/>
      <c r="C157" s="50"/>
      <c r="D157" s="51"/>
      <c r="E157" s="51"/>
      <c r="F157" s="51"/>
      <c r="G157" s="51"/>
      <c r="H157" s="48"/>
      <c r="I157" s="48"/>
      <c r="J157" s="48"/>
      <c r="K157" s="48"/>
      <c r="L157" s="33"/>
      <c r="M157" s="3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idden="1">
      <c r="A158" s="48"/>
      <c r="B158" s="51"/>
      <c r="C158" s="50"/>
      <c r="D158" s="51"/>
      <c r="E158" s="51"/>
      <c r="F158" s="51"/>
      <c r="G158" s="51"/>
      <c r="H158" s="48"/>
      <c r="I158" s="48"/>
      <c r="J158" s="48"/>
      <c r="K158" s="48"/>
      <c r="L158" s="33"/>
      <c r="M158" s="3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idden="1">
      <c r="A159" s="48"/>
      <c r="B159" s="51"/>
      <c r="C159" s="50"/>
      <c r="D159" s="51"/>
      <c r="E159" s="51"/>
      <c r="F159" s="51"/>
      <c r="G159" s="51"/>
      <c r="H159" s="48"/>
      <c r="I159" s="48"/>
      <c r="J159" s="48"/>
      <c r="K159" s="48"/>
      <c r="L159" s="33"/>
      <c r="M159" s="3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idden="1">
      <c r="A160" s="48"/>
      <c r="B160" s="51"/>
      <c r="C160" s="50"/>
      <c r="D160" s="51"/>
      <c r="E160" s="51"/>
      <c r="F160" s="51"/>
      <c r="G160" s="51"/>
      <c r="H160" s="48"/>
      <c r="I160" s="48"/>
      <c r="J160" s="48"/>
      <c r="K160" s="48"/>
      <c r="L160" s="33"/>
      <c r="M160" s="3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8"/>
      <c r="B161" s="51"/>
      <c r="C161" s="50"/>
      <c r="D161" s="51"/>
      <c r="E161" s="51"/>
      <c r="F161" s="51"/>
      <c r="G161" s="49"/>
      <c r="H161" s="48"/>
      <c r="I161" s="48"/>
      <c r="J161" s="48"/>
      <c r="K161" s="48"/>
      <c r="L161" s="33"/>
      <c r="M161" s="3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8"/>
      <c r="B162" s="49"/>
      <c r="C162" s="50"/>
      <c r="D162" s="49"/>
      <c r="E162" s="49"/>
      <c r="F162" s="49"/>
      <c r="G162" s="42"/>
      <c r="H162" s="48"/>
      <c r="I162" s="48"/>
      <c r="J162" s="48"/>
      <c r="K162" s="48"/>
      <c r="L162" s="33"/>
      <c r="M162" s="3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0"/>
      <c r="B163" s="43"/>
      <c r="C163" s="34"/>
      <c r="D163" s="41"/>
      <c r="E163" s="42"/>
      <c r="F163" s="42"/>
      <c r="G163" s="42"/>
      <c r="H163" s="33"/>
      <c r="I163" s="33"/>
      <c r="J163" s="33"/>
      <c r="K163" s="33"/>
      <c r="L163" s="33"/>
      <c r="M163" s="3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0"/>
      <c r="B164" s="43"/>
      <c r="C164" s="34"/>
      <c r="D164" s="41"/>
      <c r="E164" s="42"/>
      <c r="F164" s="42"/>
      <c r="G164" s="42"/>
      <c r="H164" s="33"/>
      <c r="I164" s="54"/>
      <c r="J164" s="55"/>
      <c r="K164" s="33"/>
      <c r="L164" s="33"/>
      <c r="M164" s="3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0"/>
      <c r="B165" s="43"/>
      <c r="C165" s="34"/>
      <c r="D165" s="41"/>
      <c r="E165" s="42"/>
      <c r="F165" s="42"/>
      <c r="G165" s="42"/>
      <c r="H165" s="33"/>
      <c r="I165" s="33"/>
      <c r="J165" s="56"/>
      <c r="K165" s="57"/>
      <c r="L165" s="33"/>
      <c r="M165" s="3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idden="1">
      <c r="A166" s="40"/>
      <c r="B166" s="43"/>
      <c r="C166" s="58"/>
      <c r="D166" s="41"/>
      <c r="E166" s="42"/>
      <c r="F166" s="42"/>
      <c r="G166" s="47"/>
      <c r="H166" s="33"/>
      <c r="I166" s="33"/>
      <c r="J166" s="56"/>
      <c r="K166" s="33"/>
      <c r="L166" s="33"/>
      <c r="M166" s="3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0"/>
      <c r="B167" s="44"/>
      <c r="C167" s="34"/>
      <c r="D167" s="45"/>
      <c r="E167" s="46"/>
      <c r="F167" s="46"/>
      <c r="G167" s="42"/>
      <c r="H167" s="33"/>
      <c r="I167" s="33"/>
      <c r="J167" s="56"/>
      <c r="K167" s="57"/>
      <c r="L167" s="33"/>
      <c r="M167" s="3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0"/>
      <c r="B168" s="43"/>
      <c r="C168" s="34"/>
      <c r="D168" s="41"/>
      <c r="E168" s="42"/>
      <c r="F168" s="42"/>
      <c r="G168" s="42"/>
      <c r="H168" s="33"/>
      <c r="I168" s="33"/>
      <c r="J168" s="56"/>
      <c r="K168" s="57"/>
      <c r="L168" s="33"/>
      <c r="M168" s="3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0"/>
      <c r="B169" s="43"/>
      <c r="C169" s="34"/>
      <c r="D169" s="41"/>
      <c r="E169" s="42"/>
      <c r="F169" s="42"/>
      <c r="G169" s="42"/>
      <c r="H169" s="33"/>
      <c r="I169" s="33"/>
      <c r="J169" s="33"/>
      <c r="K169" s="33"/>
      <c r="L169" s="33"/>
      <c r="M169" s="3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idden="1">
      <c r="A170" s="40"/>
      <c r="B170" s="43"/>
      <c r="C170" s="34"/>
      <c r="D170" s="41"/>
      <c r="E170" s="42"/>
      <c r="F170" s="42"/>
      <c r="G170" s="42"/>
      <c r="H170" s="33"/>
      <c r="I170" s="33"/>
      <c r="J170" s="33"/>
      <c r="K170" s="33"/>
      <c r="L170" s="33"/>
      <c r="M170" s="3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0"/>
      <c r="B171" s="43"/>
      <c r="C171" s="34"/>
      <c r="D171" s="41"/>
      <c r="E171" s="42"/>
      <c r="F171" s="42"/>
      <c r="G171" s="42"/>
      <c r="H171" s="33"/>
      <c r="I171" s="33"/>
      <c r="J171" s="33"/>
      <c r="K171" s="33"/>
      <c r="L171" s="33"/>
      <c r="M171" s="3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idden="1">
      <c r="A172" s="40"/>
      <c r="B172" s="43"/>
      <c r="C172" s="34"/>
      <c r="D172" s="41"/>
      <c r="E172" s="42"/>
      <c r="F172" s="42"/>
      <c r="G172" s="42"/>
      <c r="H172" s="33"/>
      <c r="I172" s="33"/>
      <c r="J172" s="33"/>
      <c r="K172" s="33"/>
      <c r="L172" s="33"/>
      <c r="M172" s="3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idden="1">
      <c r="A173" s="40"/>
      <c r="B173" s="43"/>
      <c r="C173" s="34"/>
      <c r="D173" s="41"/>
      <c r="E173" s="42"/>
      <c r="F173" s="42"/>
      <c r="G173" s="42"/>
      <c r="H173" s="33"/>
      <c r="I173" s="33"/>
      <c r="J173" s="33"/>
      <c r="K173" s="33"/>
      <c r="L173" s="33"/>
      <c r="M173" s="3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idden="1">
      <c r="A174" s="40"/>
      <c r="B174" s="43"/>
      <c r="C174" s="58"/>
      <c r="D174" s="41"/>
      <c r="E174" s="42"/>
      <c r="F174" s="42"/>
      <c r="G174" s="47"/>
      <c r="H174" s="33"/>
      <c r="I174" s="33"/>
      <c r="J174" s="33"/>
      <c r="K174" s="33"/>
      <c r="L174" s="33"/>
      <c r="M174" s="3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0"/>
      <c r="B175" s="44"/>
      <c r="C175" s="34"/>
      <c r="D175" s="45"/>
      <c r="E175" s="46"/>
      <c r="F175" s="46"/>
      <c r="G175" s="42"/>
      <c r="H175" s="33"/>
      <c r="I175" s="33"/>
      <c r="J175" s="33"/>
      <c r="K175" s="33"/>
      <c r="L175" s="33"/>
      <c r="M175" s="3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0"/>
      <c r="B176" s="43"/>
      <c r="C176" s="34"/>
      <c r="D176" s="41"/>
      <c r="E176" s="42"/>
      <c r="F176" s="42"/>
      <c r="G176" s="42"/>
      <c r="H176" s="33"/>
      <c r="I176" s="33"/>
      <c r="J176" s="33"/>
      <c r="K176" s="33"/>
      <c r="L176" s="33"/>
      <c r="M176" s="3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0"/>
      <c r="B177" s="43"/>
      <c r="C177" s="34"/>
      <c r="D177" s="41"/>
      <c r="E177" s="42"/>
      <c r="F177" s="42"/>
      <c r="G177" s="42"/>
      <c r="H177" s="33"/>
      <c r="I177" s="33"/>
      <c r="J177" s="33"/>
      <c r="K177" s="33"/>
      <c r="L177" s="33"/>
      <c r="M177" s="3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idden="1">
      <c r="A178" s="40"/>
      <c r="B178" s="43"/>
      <c r="C178" s="34"/>
      <c r="D178" s="41"/>
      <c r="E178" s="42"/>
      <c r="F178" s="42"/>
      <c r="G178" s="42"/>
      <c r="H178" s="33"/>
      <c r="I178" s="33"/>
      <c r="J178" s="33"/>
      <c r="K178" s="33"/>
      <c r="L178" s="33"/>
      <c r="M178" s="3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idden="1">
      <c r="A179" s="40"/>
      <c r="B179" s="43"/>
      <c r="C179" s="34"/>
      <c r="D179" s="41"/>
      <c r="E179" s="42"/>
      <c r="F179" s="42"/>
      <c r="G179" s="42"/>
      <c r="H179" s="33"/>
      <c r="I179" s="33"/>
      <c r="J179" s="33"/>
      <c r="K179" s="33"/>
      <c r="L179" s="33"/>
      <c r="M179" s="3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idden="1">
      <c r="A180" s="40"/>
      <c r="B180" s="43"/>
      <c r="C180" s="58"/>
      <c r="D180" s="41"/>
      <c r="E180" s="42"/>
      <c r="F180" s="42"/>
      <c r="G180" s="47"/>
      <c r="H180" s="33"/>
      <c r="I180" s="33"/>
      <c r="J180" s="33"/>
      <c r="K180" s="33"/>
      <c r="L180" s="33"/>
      <c r="M180" s="3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idden="1">
      <c r="A181" s="40"/>
      <c r="B181" s="44"/>
      <c r="C181" s="34"/>
      <c r="D181" s="45"/>
      <c r="E181" s="46"/>
      <c r="F181" s="46"/>
      <c r="G181" s="42"/>
      <c r="H181" s="33"/>
      <c r="I181" s="33"/>
      <c r="J181" s="33"/>
      <c r="K181" s="33"/>
      <c r="L181" s="33"/>
      <c r="M181" s="3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0"/>
      <c r="B182" s="43"/>
      <c r="C182" s="34"/>
      <c r="D182" s="41"/>
      <c r="E182" s="42"/>
      <c r="F182" s="42"/>
      <c r="G182" s="42"/>
      <c r="H182" s="33"/>
      <c r="I182" s="33"/>
      <c r="J182" s="33"/>
      <c r="K182" s="33"/>
      <c r="L182" s="33"/>
      <c r="M182" s="3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0"/>
      <c r="B183" s="43"/>
      <c r="C183" s="34"/>
      <c r="D183" s="41"/>
      <c r="E183" s="42"/>
      <c r="F183" s="42"/>
      <c r="G183" s="42"/>
      <c r="H183" s="33"/>
      <c r="I183" s="33"/>
      <c r="J183" s="33"/>
      <c r="K183" s="33"/>
      <c r="L183" s="33"/>
      <c r="M183" s="3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0"/>
      <c r="B184" s="43"/>
      <c r="C184" s="34"/>
      <c r="D184" s="41"/>
      <c r="E184" s="42"/>
      <c r="F184" s="42"/>
      <c r="G184" s="42"/>
      <c r="H184" s="33"/>
      <c r="I184" s="33"/>
      <c r="J184" s="33"/>
      <c r="K184" s="33"/>
      <c r="L184" s="33"/>
      <c r="M184" s="3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0"/>
      <c r="B185" s="43"/>
      <c r="C185" s="34"/>
      <c r="D185" s="41"/>
      <c r="E185" s="42"/>
      <c r="F185" s="42"/>
      <c r="G185" s="42"/>
      <c r="H185" s="33"/>
      <c r="I185" s="33"/>
      <c r="J185" s="33"/>
      <c r="K185" s="33"/>
      <c r="L185" s="33"/>
      <c r="M185" s="3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0"/>
      <c r="B186" s="43"/>
      <c r="C186" s="34"/>
      <c r="D186" s="41"/>
      <c r="E186" s="42"/>
      <c r="F186" s="42"/>
      <c r="G186" s="42"/>
      <c r="H186" s="33"/>
      <c r="I186" s="33"/>
      <c r="J186" s="33"/>
      <c r="K186" s="33"/>
      <c r="L186" s="33"/>
      <c r="M186" s="3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0"/>
      <c r="B187" s="43"/>
      <c r="C187" s="34"/>
      <c r="D187" s="41"/>
      <c r="E187" s="42"/>
      <c r="F187" s="42"/>
      <c r="G187" s="42"/>
      <c r="H187" s="33"/>
      <c r="I187" s="33"/>
      <c r="J187" s="33"/>
      <c r="K187" s="33"/>
      <c r="L187" s="33"/>
      <c r="M187" s="3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0"/>
      <c r="B188" s="43"/>
      <c r="C188" s="34"/>
      <c r="D188" s="41"/>
      <c r="E188" s="42"/>
      <c r="F188" s="42"/>
      <c r="G188" s="42"/>
      <c r="H188" s="33"/>
      <c r="I188" s="33"/>
      <c r="J188" s="33"/>
      <c r="K188" s="33"/>
      <c r="L188" s="33"/>
      <c r="M188" s="3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0"/>
      <c r="B189" s="43"/>
      <c r="C189" s="34"/>
      <c r="D189" s="41"/>
      <c r="E189" s="42"/>
      <c r="F189" s="42"/>
      <c r="G189" s="42"/>
      <c r="H189" s="33"/>
      <c r="I189" s="33"/>
      <c r="J189" s="33"/>
      <c r="K189" s="33"/>
      <c r="L189" s="33"/>
      <c r="M189" s="3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idden="1">
      <c r="A190" s="40"/>
      <c r="B190" s="43"/>
      <c r="C190" s="34"/>
      <c r="D190" s="41"/>
      <c r="E190" s="42"/>
      <c r="F190" s="42"/>
      <c r="G190" s="42"/>
      <c r="H190" s="33"/>
      <c r="I190" s="33"/>
      <c r="J190" s="33"/>
      <c r="K190" s="33"/>
      <c r="L190" s="33"/>
      <c r="M190" s="3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idden="1">
      <c r="A191" s="40"/>
      <c r="B191" s="43"/>
      <c r="C191" s="58"/>
      <c r="D191" s="41"/>
      <c r="E191" s="42"/>
      <c r="F191" s="42"/>
      <c r="G191" s="47"/>
      <c r="H191" s="33"/>
      <c r="I191" s="33"/>
      <c r="J191" s="33"/>
      <c r="K191" s="33"/>
      <c r="L191" s="33"/>
      <c r="M191" s="3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0"/>
      <c r="B192" s="44"/>
      <c r="C192" s="58"/>
      <c r="D192" s="45"/>
      <c r="E192" s="46"/>
      <c r="F192" s="46"/>
      <c r="G192" s="47"/>
      <c r="H192" s="33"/>
      <c r="I192" s="33"/>
      <c r="J192" s="33"/>
      <c r="K192" s="33"/>
      <c r="L192" s="33"/>
      <c r="M192" s="3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0"/>
      <c r="B193" s="44"/>
      <c r="C193" s="34"/>
      <c r="D193" s="45"/>
      <c r="E193" s="46"/>
      <c r="F193" s="46"/>
      <c r="G193" s="42"/>
      <c r="H193" s="33"/>
      <c r="I193" s="33"/>
      <c r="J193" s="33"/>
      <c r="K193" s="33"/>
      <c r="L193" s="33"/>
      <c r="M193" s="3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0"/>
      <c r="B194" s="43"/>
      <c r="C194" s="34"/>
      <c r="D194" s="41"/>
      <c r="E194" s="42"/>
      <c r="F194" s="42"/>
      <c r="G194" s="42"/>
      <c r="H194" s="33"/>
      <c r="I194" s="33"/>
      <c r="J194" s="33"/>
      <c r="K194" s="33"/>
      <c r="L194" s="33"/>
      <c r="M194" s="3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0"/>
      <c r="B195" s="43"/>
      <c r="C195" s="34"/>
      <c r="D195" s="41"/>
      <c r="E195" s="42"/>
      <c r="F195" s="42"/>
      <c r="G195" s="42"/>
      <c r="H195" s="33"/>
      <c r="I195" s="33"/>
      <c r="J195" s="33"/>
      <c r="K195" s="33"/>
      <c r="L195" s="33"/>
      <c r="M195" s="3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0"/>
      <c r="B196" s="43"/>
      <c r="C196" s="34"/>
      <c r="D196" s="41"/>
      <c r="E196" s="42"/>
      <c r="F196" s="42"/>
      <c r="G196" s="42"/>
      <c r="H196" s="33"/>
      <c r="I196" s="33"/>
      <c r="J196" s="33"/>
      <c r="K196" s="33"/>
      <c r="L196" s="33"/>
      <c r="M196" s="3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idden="1">
      <c r="A197" s="40"/>
      <c r="B197" s="43"/>
      <c r="C197" s="34"/>
      <c r="D197" s="41"/>
      <c r="E197" s="42"/>
      <c r="F197" s="42"/>
      <c r="G197" s="42"/>
      <c r="H197" s="33"/>
      <c r="I197" s="33"/>
      <c r="J197" s="33"/>
      <c r="K197" s="33"/>
      <c r="L197" s="33"/>
      <c r="M197" s="3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0"/>
      <c r="B198" s="43"/>
      <c r="C198" s="34"/>
      <c r="D198" s="41"/>
      <c r="E198" s="42"/>
      <c r="F198" s="42"/>
      <c r="G198" s="42"/>
      <c r="H198" s="33"/>
      <c r="I198" s="33"/>
      <c r="J198" s="33"/>
      <c r="K198" s="33"/>
      <c r="L198" s="33"/>
      <c r="M198" s="3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0"/>
      <c r="B199" s="43"/>
      <c r="C199" s="34"/>
      <c r="D199" s="41"/>
      <c r="E199" s="42"/>
      <c r="F199" s="42"/>
      <c r="G199" s="42"/>
      <c r="H199" s="33"/>
      <c r="I199" s="33"/>
      <c r="J199" s="33"/>
      <c r="K199" s="33"/>
      <c r="L199" s="33"/>
      <c r="M199" s="3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0"/>
      <c r="B200" s="43"/>
      <c r="C200" s="34"/>
      <c r="D200" s="41"/>
      <c r="E200" s="42"/>
      <c r="F200" s="42"/>
      <c r="G200" s="42"/>
      <c r="H200" s="33"/>
      <c r="I200" s="33"/>
      <c r="J200" s="33"/>
      <c r="K200" s="33"/>
      <c r="L200" s="33"/>
      <c r="M200" s="3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0"/>
      <c r="B201" s="43"/>
      <c r="C201" s="34"/>
      <c r="D201" s="41"/>
      <c r="E201" s="42"/>
      <c r="F201" s="42"/>
      <c r="G201" s="42"/>
      <c r="H201" s="33"/>
      <c r="I201" s="33"/>
      <c r="J201" s="33"/>
      <c r="K201" s="33"/>
      <c r="L201" s="33"/>
      <c r="M201" s="3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0"/>
      <c r="B202" s="43"/>
      <c r="C202" s="34"/>
      <c r="D202" s="41"/>
      <c r="E202" s="42"/>
      <c r="F202" s="42"/>
      <c r="G202" s="42"/>
      <c r="H202" s="33"/>
      <c r="I202" s="33"/>
      <c r="J202" s="33"/>
      <c r="K202" s="33"/>
      <c r="L202" s="33"/>
      <c r="M202" s="3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0"/>
      <c r="B203" s="43"/>
      <c r="C203" s="58"/>
      <c r="D203" s="41"/>
      <c r="E203" s="42"/>
      <c r="F203" s="42"/>
      <c r="G203" s="47"/>
      <c r="H203" s="33"/>
      <c r="I203" s="33"/>
      <c r="J203" s="33"/>
      <c r="K203" s="33"/>
      <c r="L203" s="33"/>
      <c r="M203" s="3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0"/>
      <c r="B204" s="44"/>
      <c r="C204" s="34"/>
      <c r="D204" s="45"/>
      <c r="E204" s="46"/>
      <c r="F204" s="46"/>
      <c r="G204" s="42"/>
      <c r="H204" s="33"/>
      <c r="I204" s="33"/>
      <c r="J204" s="33"/>
      <c r="K204" s="33"/>
      <c r="L204" s="33"/>
      <c r="M204" s="3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0"/>
      <c r="B205" s="43"/>
      <c r="C205" s="34"/>
      <c r="D205" s="41"/>
      <c r="E205" s="42"/>
      <c r="F205" s="42"/>
      <c r="G205" s="42"/>
      <c r="H205" s="33"/>
      <c r="I205" s="33"/>
      <c r="J205" s="33"/>
      <c r="K205" s="33"/>
      <c r="L205" s="33"/>
      <c r="M205" s="3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0"/>
      <c r="B206" s="43"/>
      <c r="C206" s="34"/>
      <c r="D206" s="41"/>
      <c r="E206" s="42"/>
      <c r="F206" s="42"/>
      <c r="G206" s="42"/>
      <c r="H206" s="33"/>
      <c r="I206" s="33"/>
      <c r="J206" s="33"/>
      <c r="K206" s="33"/>
      <c r="L206" s="33"/>
      <c r="M206" s="3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0"/>
      <c r="B207" s="43"/>
      <c r="C207" s="34"/>
      <c r="D207" s="41"/>
      <c r="E207" s="42"/>
      <c r="F207" s="42"/>
      <c r="G207" s="42"/>
      <c r="H207" s="33"/>
      <c r="I207" s="33"/>
      <c r="J207" s="33"/>
      <c r="K207" s="33"/>
      <c r="L207" s="33"/>
      <c r="M207" s="3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0"/>
      <c r="B208" s="43"/>
      <c r="C208" s="34"/>
      <c r="D208" s="41"/>
      <c r="E208" s="42"/>
      <c r="F208" s="42"/>
      <c r="G208" s="42"/>
      <c r="H208" s="33"/>
      <c r="I208" s="33"/>
      <c r="J208" s="33"/>
      <c r="K208" s="33"/>
      <c r="L208" s="33"/>
      <c r="M208" s="3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0"/>
      <c r="B209" s="43"/>
      <c r="C209" s="34"/>
      <c r="D209" s="41"/>
      <c r="E209" s="42"/>
      <c r="F209" s="42"/>
      <c r="G209" s="42"/>
      <c r="H209" s="33"/>
      <c r="I209" s="33"/>
      <c r="J209" s="33"/>
      <c r="K209" s="33"/>
      <c r="L209" s="33"/>
      <c r="M209" s="3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idden="1">
      <c r="A210" s="40"/>
      <c r="B210" s="43"/>
      <c r="C210" s="34"/>
      <c r="D210" s="41"/>
      <c r="E210" s="42"/>
      <c r="F210" s="42"/>
      <c r="G210" s="42"/>
      <c r="H210" s="33"/>
      <c r="I210" s="33"/>
      <c r="J210" s="33"/>
      <c r="K210" s="33"/>
      <c r="L210" s="33"/>
      <c r="M210" s="3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0"/>
      <c r="B211" s="43"/>
      <c r="C211" s="34"/>
      <c r="D211" s="41"/>
      <c r="E211" s="42"/>
      <c r="F211" s="42"/>
      <c r="G211" s="42"/>
      <c r="H211" s="33"/>
      <c r="I211" s="33"/>
      <c r="J211" s="33"/>
      <c r="K211" s="33"/>
      <c r="L211" s="33"/>
      <c r="M211" s="3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0"/>
      <c r="B212" s="43"/>
      <c r="C212" s="34"/>
      <c r="D212" s="41"/>
      <c r="E212" s="42"/>
      <c r="F212" s="42"/>
      <c r="G212" s="42"/>
      <c r="H212" s="33"/>
      <c r="I212" s="33"/>
      <c r="J212" s="33"/>
      <c r="K212" s="33"/>
      <c r="L212" s="33"/>
      <c r="M212" s="3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0"/>
      <c r="B213" s="43"/>
      <c r="C213" s="34"/>
      <c r="D213" s="41"/>
      <c r="E213" s="42"/>
      <c r="F213" s="42"/>
      <c r="G213" s="42"/>
      <c r="H213" s="33"/>
      <c r="I213" s="33"/>
      <c r="J213" s="33"/>
      <c r="K213" s="33"/>
      <c r="L213" s="33"/>
      <c r="M213" s="3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0"/>
      <c r="B214" s="43"/>
      <c r="C214" s="58"/>
      <c r="D214" s="41"/>
      <c r="E214" s="42"/>
      <c r="F214" s="42"/>
      <c r="G214" s="47"/>
      <c r="H214" s="33"/>
      <c r="I214" s="33"/>
      <c r="J214" s="33"/>
      <c r="K214" s="33"/>
      <c r="L214" s="33"/>
      <c r="M214" s="3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0"/>
      <c r="B215" s="44"/>
      <c r="C215" s="34"/>
      <c r="D215" s="45"/>
      <c r="E215" s="46"/>
      <c r="F215" s="46"/>
      <c r="G215" s="42"/>
      <c r="H215" s="33"/>
      <c r="I215" s="33"/>
      <c r="J215" s="33"/>
      <c r="K215" s="33"/>
      <c r="L215" s="33"/>
      <c r="M215" s="3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0"/>
      <c r="B216" s="43"/>
      <c r="C216" s="58"/>
      <c r="D216" s="41"/>
      <c r="E216" s="42"/>
      <c r="F216" s="42"/>
      <c r="G216" s="47"/>
      <c r="H216" s="33"/>
      <c r="I216" s="33"/>
      <c r="J216" s="33"/>
      <c r="K216" s="33"/>
      <c r="L216" s="33"/>
      <c r="M216" s="3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0"/>
      <c r="B217" s="44"/>
      <c r="C217" s="34"/>
      <c r="D217" s="45"/>
      <c r="E217" s="46"/>
      <c r="F217" s="46"/>
      <c r="G217" s="42"/>
      <c r="H217" s="33"/>
      <c r="I217" s="33"/>
      <c r="J217" s="33"/>
      <c r="K217" s="33"/>
      <c r="L217" s="33"/>
      <c r="M217" s="3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0"/>
      <c r="B218" s="43"/>
      <c r="C218" s="58"/>
      <c r="D218" s="41"/>
      <c r="E218" s="42"/>
      <c r="F218" s="42"/>
      <c r="G218" s="47"/>
      <c r="H218" s="33"/>
      <c r="I218" s="33"/>
      <c r="J218" s="33"/>
      <c r="K218" s="33"/>
      <c r="L218" s="33"/>
      <c r="M218" s="3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0"/>
      <c r="B219" s="44"/>
      <c r="C219" s="58"/>
      <c r="D219" s="45"/>
      <c r="E219" s="46"/>
      <c r="F219" s="46"/>
      <c r="G219" s="47"/>
      <c r="H219" s="33"/>
      <c r="I219" s="33"/>
      <c r="J219" s="33"/>
      <c r="K219" s="33"/>
      <c r="L219" s="33"/>
      <c r="M219" s="3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0"/>
      <c r="B220" s="44"/>
      <c r="C220" s="34"/>
      <c r="D220" s="45"/>
      <c r="E220" s="46"/>
      <c r="F220" s="46"/>
      <c r="G220" s="59"/>
      <c r="H220" s="33"/>
      <c r="I220" s="33"/>
      <c r="J220" s="33"/>
      <c r="K220" s="33"/>
      <c r="L220" s="33"/>
      <c r="M220" s="3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3"/>
      <c r="B221" s="33"/>
      <c r="C221" s="34"/>
      <c r="D221" s="33"/>
      <c r="E221" s="59"/>
      <c r="F221" s="59"/>
      <c r="G221" s="59"/>
      <c r="H221" s="33"/>
      <c r="I221" s="33"/>
      <c r="J221" s="33"/>
      <c r="K221" s="33"/>
      <c r="L221" s="33"/>
      <c r="M221" s="3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3"/>
      <c r="B222" s="33"/>
      <c r="C222" s="34"/>
      <c r="D222" s="33"/>
      <c r="E222" s="59"/>
      <c r="F222" s="59"/>
      <c r="G222" s="59"/>
      <c r="H222" s="33"/>
      <c r="I222" s="33"/>
      <c r="J222" s="33"/>
      <c r="K222" s="33"/>
      <c r="L222" s="33"/>
      <c r="M222" s="3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3"/>
      <c r="B223" s="33"/>
      <c r="C223" s="34"/>
      <c r="D223" s="33"/>
      <c r="E223" s="59"/>
      <c r="F223" s="59"/>
      <c r="G223" s="59"/>
      <c r="H223" s="33"/>
      <c r="I223" s="33"/>
      <c r="J223" s="33"/>
      <c r="K223" s="33"/>
      <c r="L223" s="33"/>
      <c r="M223" s="3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3"/>
      <c r="B224" s="33"/>
      <c r="C224" s="34"/>
      <c r="D224" s="33"/>
      <c r="E224" s="59"/>
      <c r="F224" s="59"/>
      <c r="G224" s="59"/>
      <c r="H224" s="33"/>
      <c r="I224" s="33"/>
      <c r="J224" s="33"/>
      <c r="K224" s="33"/>
      <c r="L224" s="33"/>
      <c r="M224" s="3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3"/>
      <c r="B225" s="33"/>
      <c r="C225" s="34"/>
      <c r="D225" s="33"/>
      <c r="E225" s="59"/>
      <c r="F225" s="59"/>
      <c r="G225" s="59"/>
      <c r="H225" s="33"/>
      <c r="I225" s="33"/>
      <c r="J225" s="33"/>
      <c r="K225" s="33"/>
      <c r="L225" s="33"/>
      <c r="M225" s="3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3"/>
      <c r="B226" s="33"/>
      <c r="C226" s="34"/>
      <c r="D226" s="33"/>
      <c r="E226" s="59"/>
      <c r="F226" s="59"/>
      <c r="G226" s="59"/>
      <c r="H226" s="33"/>
      <c r="I226" s="33"/>
      <c r="J226" s="33"/>
      <c r="K226" s="33"/>
      <c r="L226" s="33"/>
      <c r="M226" s="3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3"/>
      <c r="B227" s="33"/>
      <c r="C227" s="34"/>
      <c r="D227" s="33"/>
      <c r="E227" s="59"/>
      <c r="F227" s="59"/>
      <c r="G227" s="59"/>
      <c r="H227" s="33"/>
      <c r="I227" s="33"/>
      <c r="J227" s="33"/>
      <c r="K227" s="33"/>
      <c r="L227" s="33"/>
      <c r="M227" s="3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3"/>
      <c r="B228" s="33"/>
      <c r="C228" s="34"/>
      <c r="D228" s="33"/>
      <c r="E228" s="59"/>
      <c r="F228" s="59"/>
      <c r="G228" s="59"/>
      <c r="H228" s="33"/>
      <c r="I228" s="33"/>
      <c r="J228" s="33"/>
      <c r="K228" s="33"/>
      <c r="L228" s="33"/>
      <c r="M228" s="3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3"/>
      <c r="B229" s="33"/>
      <c r="C229" s="34"/>
      <c r="D229" s="33"/>
      <c r="E229" s="59"/>
      <c r="F229" s="59"/>
      <c r="G229" s="59"/>
      <c r="H229" s="33"/>
      <c r="I229" s="33"/>
      <c r="J229" s="33"/>
      <c r="K229" s="33"/>
      <c r="L229" s="33"/>
      <c r="M229" s="3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3"/>
      <c r="B230" s="33"/>
      <c r="C230" s="34"/>
      <c r="D230" s="33"/>
      <c r="E230" s="59"/>
      <c r="F230" s="59"/>
      <c r="G230" s="59"/>
      <c r="H230" s="33"/>
      <c r="I230" s="33"/>
      <c r="J230" s="33"/>
      <c r="K230" s="33"/>
      <c r="L230" s="33"/>
      <c r="M230" s="3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3"/>
      <c r="B231" s="33"/>
      <c r="C231" s="34"/>
      <c r="D231" s="33"/>
      <c r="E231" s="59"/>
      <c r="F231" s="59"/>
      <c r="G231" s="59"/>
      <c r="H231" s="33"/>
      <c r="I231" s="33"/>
      <c r="J231" s="33"/>
      <c r="K231" s="33"/>
      <c r="L231" s="33"/>
      <c r="M231" s="3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3"/>
      <c r="B232" s="33"/>
      <c r="C232" s="34"/>
      <c r="D232" s="33"/>
      <c r="E232" s="59"/>
      <c r="F232" s="59"/>
      <c r="G232" s="59"/>
      <c r="H232" s="33"/>
      <c r="I232" s="33"/>
      <c r="J232" s="33"/>
      <c r="K232" s="33"/>
      <c r="L232" s="33"/>
      <c r="M232" s="3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3"/>
      <c r="B233" s="33"/>
      <c r="C233" s="34"/>
      <c r="D233" s="33"/>
      <c r="E233" s="59"/>
      <c r="F233" s="59"/>
      <c r="G233" s="59"/>
      <c r="H233" s="33"/>
      <c r="I233" s="33"/>
      <c r="J233" s="33"/>
      <c r="K233" s="33"/>
      <c r="L233" s="33"/>
      <c r="M233" s="3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3"/>
      <c r="B234" s="33"/>
      <c r="C234" s="34"/>
      <c r="D234" s="33"/>
      <c r="E234" s="59"/>
      <c r="F234" s="59"/>
      <c r="G234" s="59"/>
      <c r="H234" s="33"/>
      <c r="I234" s="33"/>
      <c r="J234" s="33"/>
      <c r="K234" s="33"/>
      <c r="L234" s="33"/>
      <c r="M234" s="3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3"/>
      <c r="B235" s="33"/>
      <c r="C235" s="34"/>
      <c r="D235" s="33"/>
      <c r="E235" s="59"/>
      <c r="F235" s="59"/>
      <c r="G235" s="59"/>
      <c r="H235" s="33"/>
      <c r="I235" s="33"/>
      <c r="J235" s="33"/>
      <c r="K235" s="33"/>
      <c r="L235" s="33"/>
      <c r="M235" s="3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3"/>
      <c r="B236" s="33"/>
      <c r="C236" s="34"/>
      <c r="D236" s="33"/>
      <c r="E236" s="59"/>
      <c r="F236" s="59"/>
      <c r="G236" s="59"/>
      <c r="H236" s="33"/>
      <c r="I236" s="33"/>
      <c r="J236" s="33"/>
      <c r="K236" s="33"/>
      <c r="L236" s="33"/>
      <c r="M236" s="3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3"/>
      <c r="B237" s="33"/>
      <c r="C237" s="34"/>
      <c r="D237" s="33"/>
      <c r="E237" s="59"/>
      <c r="F237" s="59"/>
      <c r="G237" s="59"/>
      <c r="H237" s="33"/>
      <c r="I237" s="33"/>
      <c r="J237" s="33"/>
      <c r="K237" s="33"/>
      <c r="L237" s="33"/>
      <c r="M237" s="3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3"/>
      <c r="B238" s="33"/>
      <c r="C238" s="34"/>
      <c r="D238" s="33"/>
      <c r="E238" s="59"/>
      <c r="F238" s="59"/>
      <c r="G238" s="59"/>
      <c r="H238" s="33"/>
      <c r="I238" s="33"/>
      <c r="J238" s="33"/>
      <c r="K238" s="33"/>
      <c r="L238" s="33"/>
      <c r="M238" s="3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3"/>
      <c r="B239" s="33"/>
      <c r="C239" s="34"/>
      <c r="D239" s="33"/>
      <c r="E239" s="59"/>
      <c r="F239" s="59"/>
      <c r="G239" s="59"/>
      <c r="H239" s="33"/>
      <c r="I239" s="33"/>
      <c r="J239" s="33"/>
      <c r="K239" s="33"/>
      <c r="L239" s="33"/>
      <c r="M239" s="3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3"/>
      <c r="B240" s="33"/>
      <c r="C240" s="34"/>
      <c r="D240" s="33"/>
      <c r="E240" s="59"/>
      <c r="F240" s="59"/>
      <c r="G240" s="59"/>
      <c r="H240" s="33"/>
      <c r="I240" s="33"/>
      <c r="J240" s="33"/>
      <c r="K240" s="33"/>
      <c r="L240" s="33"/>
      <c r="M240" s="3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3"/>
      <c r="B241" s="33"/>
      <c r="C241" s="34"/>
      <c r="D241" s="33"/>
      <c r="E241" s="59"/>
      <c r="F241" s="59"/>
      <c r="G241" s="59"/>
      <c r="H241" s="33"/>
      <c r="I241" s="33"/>
      <c r="J241" s="33"/>
      <c r="K241" s="33"/>
      <c r="L241" s="33"/>
      <c r="M241" s="3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3"/>
      <c r="B242" s="33"/>
      <c r="C242" s="34"/>
      <c r="D242" s="33"/>
      <c r="E242" s="59"/>
      <c r="F242" s="59"/>
      <c r="G242" s="59"/>
      <c r="H242" s="33"/>
      <c r="I242" s="33"/>
      <c r="J242" s="33"/>
      <c r="K242" s="33"/>
      <c r="L242" s="33"/>
      <c r="M242" s="3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3"/>
      <c r="B243" s="33"/>
      <c r="C243" s="34"/>
      <c r="D243" s="33"/>
      <c r="E243" s="59"/>
      <c r="F243" s="59"/>
      <c r="G243" s="59"/>
      <c r="H243" s="33"/>
      <c r="I243" s="33"/>
      <c r="J243" s="33"/>
      <c r="K243" s="33"/>
      <c r="L243" s="33"/>
      <c r="M243" s="3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3"/>
      <c r="B244" s="33"/>
      <c r="C244" s="34"/>
      <c r="D244" s="33"/>
      <c r="E244" s="59"/>
      <c r="F244" s="59"/>
      <c r="G244" s="59"/>
      <c r="H244" s="33"/>
      <c r="I244" s="33"/>
      <c r="J244" s="33"/>
      <c r="K244" s="33"/>
      <c r="L244" s="33"/>
      <c r="M244" s="3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3"/>
      <c r="B245" s="33"/>
      <c r="C245" s="34"/>
      <c r="D245" s="33"/>
      <c r="E245" s="59"/>
      <c r="F245" s="59"/>
      <c r="G245" s="59"/>
      <c r="H245" s="33"/>
      <c r="I245" s="33"/>
      <c r="J245" s="33"/>
      <c r="K245" s="33"/>
      <c r="L245" s="33"/>
      <c r="M245" s="3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3"/>
      <c r="B246" s="33"/>
      <c r="C246" s="34"/>
      <c r="D246" s="33"/>
      <c r="E246" s="59"/>
      <c r="F246" s="59"/>
      <c r="G246" s="59"/>
      <c r="H246" s="33"/>
      <c r="I246" s="33"/>
      <c r="J246" s="33"/>
      <c r="K246" s="33"/>
      <c r="L246" s="33"/>
      <c r="M246" s="3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3"/>
      <c r="B247" s="33"/>
      <c r="C247" s="34"/>
      <c r="D247" s="33"/>
      <c r="E247" s="59"/>
      <c r="F247" s="59"/>
      <c r="G247" s="59"/>
      <c r="H247" s="33"/>
      <c r="I247" s="33"/>
      <c r="J247" s="33"/>
      <c r="K247" s="33"/>
      <c r="L247" s="33"/>
      <c r="M247" s="3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3"/>
      <c r="B248" s="33"/>
      <c r="C248" s="34"/>
      <c r="D248" s="33"/>
      <c r="E248" s="59"/>
      <c r="F248" s="59"/>
      <c r="G248" s="4"/>
      <c r="H248" s="33"/>
      <c r="I248" s="33"/>
      <c r="J248" s="33"/>
      <c r="K248" s="33"/>
      <c r="L248" s="33"/>
      <c r="M248" s="3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2"/>
      <c r="E249" s="4"/>
      <c r="F249" s="4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2"/>
      <c r="E250" s="4"/>
      <c r="F250" s="4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2"/>
      <c r="E251" s="4"/>
      <c r="F251" s="4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2"/>
      <c r="E252" s="4"/>
      <c r="F252" s="4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2"/>
      <c r="E253" s="4"/>
      <c r="F253" s="4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2"/>
      <c r="E254" s="4"/>
      <c r="F254" s="4"/>
      <c r="G254" s="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2"/>
      <c r="E255" s="4"/>
      <c r="F255" s="4"/>
      <c r="G255" s="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2"/>
      <c r="E256" s="4"/>
      <c r="F256" s="4"/>
      <c r="G256" s="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2"/>
      <c r="E257" s="4"/>
      <c r="F257" s="4"/>
      <c r="G257" s="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2"/>
      <c r="E258" s="4"/>
      <c r="F258" s="4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2"/>
      <c r="E259" s="4"/>
      <c r="F259" s="4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2"/>
      <c r="E260" s="4"/>
      <c r="F260" s="4"/>
      <c r="G260" s="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2"/>
      <c r="E261" s="4"/>
      <c r="F261" s="4"/>
      <c r="G261" s="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2"/>
      <c r="E262" s="4"/>
      <c r="F262" s="4"/>
      <c r="G262" s="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2"/>
      <c r="E263" s="4"/>
      <c r="F263" s="4"/>
      <c r="G263" s="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2"/>
      <c r="E264" s="4"/>
      <c r="F264" s="4"/>
      <c r="G264" s="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2"/>
      <c r="E265" s="4"/>
      <c r="F265" s="4"/>
      <c r="G265" s="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2"/>
      <c r="E266" s="4"/>
      <c r="F266" s="4"/>
      <c r="G266" s="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2"/>
      <c r="E267" s="4"/>
      <c r="F267" s="4"/>
      <c r="G267" s="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2"/>
      <c r="E268" s="4"/>
      <c r="F268" s="4"/>
      <c r="G268" s="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2"/>
      <c r="E269" s="4"/>
      <c r="F269" s="4"/>
      <c r="G269" s="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2"/>
      <c r="E270" s="4"/>
      <c r="F270" s="4"/>
      <c r="G270" s="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2"/>
      <c r="E271" s="4"/>
      <c r="F271" s="4"/>
      <c r="G271" s="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2"/>
      <c r="E272" s="4"/>
      <c r="F272" s="4"/>
      <c r="G272" s="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2"/>
      <c r="E273" s="4"/>
      <c r="F273" s="4"/>
      <c r="G273" s="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2"/>
      <c r="E274" s="4"/>
      <c r="F274" s="4"/>
      <c r="G274" s="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2"/>
      <c r="E275" s="4"/>
      <c r="F275" s="4"/>
      <c r="G275" s="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2"/>
      <c r="E276" s="4"/>
      <c r="F276" s="4"/>
      <c r="G276" s="4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2"/>
      <c r="E277" s="4"/>
      <c r="F277" s="4"/>
      <c r="G277" s="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2"/>
      <c r="E278" s="4"/>
      <c r="F278" s="4"/>
      <c r="G278" s="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2"/>
      <c r="E279" s="4"/>
      <c r="F279" s="4"/>
      <c r="G279" s="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2"/>
      <c r="E280" s="4"/>
      <c r="F280" s="4"/>
      <c r="G280" s="4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2"/>
      <c r="E281" s="4"/>
      <c r="F281" s="4"/>
      <c r="G281" s="4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2"/>
      <c r="E282" s="4"/>
      <c r="F282" s="4"/>
      <c r="G282" s="4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2"/>
      <c r="E283" s="4"/>
      <c r="F283" s="4"/>
      <c r="G283" s="4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2"/>
      <c r="E284" s="4"/>
      <c r="F284" s="4"/>
      <c r="G284" s="4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2"/>
      <c r="E285" s="4"/>
      <c r="F285" s="4"/>
      <c r="G285" s="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2"/>
      <c r="E286" s="4"/>
      <c r="F286" s="4"/>
      <c r="G286" s="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2"/>
      <c r="E287" s="4"/>
      <c r="F287" s="4"/>
      <c r="G287" s="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2"/>
      <c r="E288" s="4"/>
      <c r="F288" s="4"/>
      <c r="G288" s="4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2"/>
      <c r="E289" s="4"/>
      <c r="F289" s="4"/>
      <c r="G289" s="4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2"/>
      <c r="E290" s="4"/>
      <c r="F290" s="4"/>
      <c r="G290" s="4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2"/>
      <c r="E291" s="4"/>
      <c r="F291" s="4"/>
      <c r="G291" s="4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2"/>
      <c r="E292" s="4"/>
      <c r="F292" s="4"/>
      <c r="G292" s="4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2"/>
      <c r="E293" s="4"/>
      <c r="F293" s="4"/>
      <c r="G293" s="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2"/>
      <c r="E294" s="4"/>
      <c r="F294" s="4"/>
      <c r="G294" s="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2"/>
      <c r="E295" s="4"/>
      <c r="F295" s="4"/>
      <c r="G295" s="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2"/>
      <c r="E296" s="4"/>
      <c r="F296" s="4"/>
      <c r="G296" s="4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2"/>
      <c r="E297" s="4"/>
      <c r="F297" s="4"/>
      <c r="G297" s="4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2"/>
      <c r="E298" s="4"/>
      <c r="F298" s="4"/>
      <c r="G298" s="4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2"/>
      <c r="E299" s="4"/>
      <c r="F299" s="4"/>
      <c r="G299" s="4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2"/>
      <c r="E300" s="4"/>
      <c r="F300" s="4"/>
      <c r="G300" s="4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2"/>
      <c r="E301" s="4"/>
      <c r="F301" s="4"/>
      <c r="G301" s="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2"/>
      <c r="E302" s="4"/>
      <c r="F302" s="4"/>
      <c r="G302" s="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2"/>
      <c r="E303" s="4"/>
      <c r="F303" s="4"/>
      <c r="G303" s="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2"/>
      <c r="E304" s="4"/>
      <c r="F304" s="4"/>
      <c r="G304" s="4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2"/>
      <c r="E305" s="4"/>
      <c r="F305" s="4"/>
      <c r="G305" s="4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2"/>
      <c r="E306" s="4"/>
      <c r="F306" s="4"/>
      <c r="G306" s="4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2"/>
      <c r="E307" s="4"/>
      <c r="F307" s="4"/>
      <c r="G307" s="4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2"/>
      <c r="E308" s="4"/>
      <c r="F308" s="4"/>
      <c r="G308" s="4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2"/>
      <c r="E309" s="4"/>
      <c r="F309" s="4"/>
      <c r="G309" s="4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2"/>
      <c r="E310" s="4"/>
      <c r="F310" s="4"/>
      <c r="G310" s="4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2"/>
      <c r="E311" s="4"/>
      <c r="F311" s="4"/>
      <c r="G311" s="4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2"/>
      <c r="E312" s="4"/>
      <c r="F312" s="4"/>
      <c r="G312" s="4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2"/>
      <c r="E313" s="4"/>
      <c r="F313" s="4"/>
      <c r="G313" s="4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2"/>
      <c r="E314" s="4"/>
      <c r="F314" s="4"/>
      <c r="G314" s="4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2"/>
      <c r="E315" s="4"/>
      <c r="F315" s="4"/>
      <c r="G315" s="4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2"/>
      <c r="E316" s="4"/>
      <c r="F316" s="4"/>
      <c r="G316" s="4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2"/>
      <c r="E317" s="4"/>
      <c r="F317" s="4"/>
      <c r="G317" s="4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2"/>
      <c r="E318" s="4"/>
      <c r="F318" s="4"/>
      <c r="G318" s="4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2"/>
      <c r="E319" s="4"/>
      <c r="F319" s="4"/>
      <c r="G319" s="4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2"/>
      <c r="E320" s="4"/>
      <c r="F320" s="4"/>
      <c r="G320" s="4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2"/>
      <c r="E321" s="4"/>
      <c r="F321" s="4"/>
      <c r="G321" s="4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2"/>
      <c r="E322" s="4"/>
      <c r="F322" s="4"/>
      <c r="G322" s="4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2"/>
      <c r="E323" s="4"/>
      <c r="F323" s="4"/>
      <c r="G323" s="4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2"/>
      <c r="E324" s="4"/>
      <c r="F324" s="4"/>
      <c r="G324" s="4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2"/>
      <c r="E325" s="4"/>
      <c r="F325" s="4"/>
      <c r="G325" s="4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2"/>
      <c r="E326" s="4"/>
      <c r="F326" s="4"/>
      <c r="G326" s="4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2"/>
      <c r="E327" s="4"/>
      <c r="F327" s="4"/>
      <c r="G327" s="4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2"/>
      <c r="E328" s="4"/>
      <c r="F328" s="4"/>
      <c r="G328" s="4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2"/>
      <c r="E329" s="4"/>
      <c r="F329" s="4"/>
      <c r="G329" s="4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2"/>
      <c r="E330" s="4"/>
      <c r="F330" s="4"/>
      <c r="G330" s="4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2"/>
      <c r="E331" s="4"/>
      <c r="F331" s="4"/>
      <c r="G331" s="4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2"/>
      <c r="E332" s="4"/>
      <c r="F332" s="4"/>
      <c r="G332" s="4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2"/>
      <c r="E333" s="4"/>
      <c r="F333" s="4"/>
      <c r="G333" s="4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2"/>
      <c r="E334" s="4"/>
      <c r="F334" s="4"/>
      <c r="G334" s="4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2"/>
      <c r="E335" s="4"/>
      <c r="F335" s="4"/>
      <c r="G335" s="4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2"/>
      <c r="E336" s="4"/>
      <c r="F336" s="4"/>
      <c r="G336" s="4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2"/>
      <c r="E337" s="4"/>
      <c r="F337" s="4"/>
      <c r="G337" s="4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2"/>
      <c r="E338" s="4"/>
      <c r="F338" s="4"/>
      <c r="G338" s="4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2"/>
      <c r="E339" s="4"/>
      <c r="F339" s="4"/>
      <c r="G339" s="4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2"/>
      <c r="E340" s="4"/>
      <c r="F340" s="4"/>
      <c r="G340" s="4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2"/>
      <c r="E341" s="4"/>
      <c r="F341" s="4"/>
      <c r="G341" s="4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2"/>
      <c r="E342" s="4"/>
      <c r="F342" s="4"/>
      <c r="G342" s="4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2"/>
      <c r="E343" s="4"/>
      <c r="F343" s="4"/>
      <c r="G343" s="4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2"/>
      <c r="E344" s="4"/>
      <c r="F344" s="4"/>
      <c r="G344" s="4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2"/>
      <c r="E345" s="4"/>
      <c r="F345" s="4"/>
      <c r="G345" s="4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2"/>
      <c r="E346" s="4"/>
      <c r="F346" s="4"/>
      <c r="G346" s="4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2"/>
      <c r="E347" s="4"/>
      <c r="F347" s="4"/>
      <c r="G347" s="4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2"/>
      <c r="E348" s="4"/>
      <c r="F348" s="4"/>
      <c r="G348" s="4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2"/>
      <c r="E349" s="4"/>
      <c r="F349" s="4"/>
      <c r="G349" s="4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2"/>
      <c r="E350" s="4"/>
      <c r="F350" s="4"/>
      <c r="G350" s="4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2"/>
      <c r="E351" s="4"/>
      <c r="F351" s="4"/>
      <c r="G351" s="4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2"/>
      <c r="E352" s="4"/>
      <c r="F352" s="4"/>
      <c r="G352" s="4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2"/>
      <c r="E353" s="4"/>
      <c r="F353" s="4"/>
      <c r="G353" s="4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2"/>
      <c r="E354" s="4"/>
      <c r="F354" s="4"/>
      <c r="G354" s="4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2"/>
      <c r="E355" s="4"/>
      <c r="F355" s="4"/>
      <c r="G355" s="4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2"/>
      <c r="E356" s="4"/>
      <c r="F356" s="4"/>
      <c r="G356" s="4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2"/>
      <c r="E357" s="4"/>
      <c r="F357" s="4"/>
      <c r="G357" s="4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2"/>
      <c r="E358" s="4"/>
      <c r="F358" s="4"/>
      <c r="G358" s="4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2"/>
      <c r="E359" s="4"/>
      <c r="F359" s="4"/>
      <c r="G359" s="4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2"/>
      <c r="E360" s="4"/>
      <c r="F360" s="4"/>
      <c r="G360" s="4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2"/>
      <c r="E361" s="4"/>
      <c r="F361" s="4"/>
      <c r="G361" s="4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2"/>
      <c r="E362" s="4"/>
      <c r="F362" s="4"/>
      <c r="G362" s="4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2"/>
      <c r="E363" s="4"/>
      <c r="F363" s="4"/>
      <c r="G363" s="4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2"/>
      <c r="E364" s="4"/>
      <c r="F364" s="4"/>
      <c r="G364" s="4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2"/>
      <c r="E365" s="4"/>
      <c r="F365" s="4"/>
      <c r="G365" s="4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2"/>
      <c r="E366" s="4"/>
      <c r="F366" s="4"/>
      <c r="G366" s="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2"/>
      <c r="E367" s="4"/>
      <c r="F367" s="4"/>
      <c r="G367" s="4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2"/>
      <c r="E368" s="4"/>
      <c r="F368" s="4"/>
      <c r="G368" s="4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2"/>
      <c r="E369" s="4"/>
      <c r="F369" s="4"/>
      <c r="G369" s="4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2"/>
      <c r="E370" s="4"/>
      <c r="F370" s="4"/>
      <c r="G370" s="4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2"/>
      <c r="E371" s="4"/>
      <c r="F371" s="4"/>
      <c r="G371" s="4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2"/>
      <c r="E372" s="4"/>
      <c r="F372" s="4"/>
      <c r="G372" s="4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2"/>
      <c r="E373" s="4"/>
      <c r="F373" s="4"/>
      <c r="G373" s="4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2"/>
      <c r="E374" s="4"/>
      <c r="F374" s="4"/>
      <c r="G374" s="4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2"/>
      <c r="E375" s="4"/>
      <c r="F375" s="4"/>
      <c r="G375" s="4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2"/>
      <c r="E376" s="4"/>
      <c r="F376" s="4"/>
      <c r="G376" s="4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2"/>
      <c r="E377" s="4"/>
      <c r="F377" s="4"/>
      <c r="G377" s="4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2"/>
      <c r="E378" s="4"/>
      <c r="F378" s="4"/>
      <c r="G378" s="4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2"/>
      <c r="E379" s="4"/>
      <c r="F379" s="4"/>
      <c r="G379" s="4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2"/>
      <c r="E380" s="4"/>
      <c r="F380" s="4"/>
      <c r="G380" s="4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2"/>
      <c r="E381" s="4"/>
      <c r="F381" s="4"/>
      <c r="G381" s="4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2"/>
      <c r="E382" s="4"/>
      <c r="F382" s="4"/>
      <c r="G382" s="4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2"/>
      <c r="E383" s="4"/>
      <c r="F383" s="4"/>
      <c r="G383" s="4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2"/>
      <c r="E384" s="4"/>
      <c r="F384" s="4"/>
      <c r="G384" s="4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2"/>
      <c r="E385" s="4"/>
      <c r="F385" s="4"/>
      <c r="G385" s="4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2"/>
      <c r="E386" s="4"/>
      <c r="F386" s="4"/>
      <c r="G386" s="4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2"/>
      <c r="E387" s="4"/>
      <c r="F387" s="4"/>
      <c r="G387" s="4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2"/>
      <c r="E388" s="4"/>
      <c r="F388" s="4"/>
      <c r="G388" s="4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2"/>
      <c r="E389" s="4"/>
      <c r="F389" s="4"/>
      <c r="G389" s="4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2"/>
      <c r="E390" s="4"/>
      <c r="F390" s="4"/>
      <c r="G390" s="4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2"/>
      <c r="E391" s="4"/>
      <c r="F391" s="4"/>
      <c r="G391" s="4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2"/>
      <c r="E392" s="4"/>
      <c r="F392" s="4"/>
      <c r="G392" s="4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2"/>
      <c r="E393" s="4"/>
      <c r="F393" s="4"/>
      <c r="G393" s="4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2"/>
      <c r="E394" s="4"/>
      <c r="F394" s="4"/>
      <c r="G394" s="4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2"/>
      <c r="E395" s="4"/>
      <c r="F395" s="4"/>
      <c r="G395" s="4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2"/>
      <c r="E396" s="4"/>
      <c r="F396" s="4"/>
      <c r="G396" s="4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2"/>
      <c r="E397" s="4"/>
      <c r="F397" s="4"/>
      <c r="G397" s="4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2"/>
      <c r="E398" s="4"/>
      <c r="F398" s="4"/>
      <c r="G398" s="4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2"/>
      <c r="E399" s="4"/>
      <c r="F399" s="4"/>
      <c r="G399" s="4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2"/>
      <c r="E400" s="4"/>
      <c r="F400" s="4"/>
      <c r="G400" s="4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2"/>
      <c r="E401" s="4"/>
      <c r="F401" s="4"/>
      <c r="G401" s="4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2"/>
      <c r="E402" s="4"/>
      <c r="F402" s="4"/>
      <c r="G402" s="4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2"/>
      <c r="E403" s="4"/>
      <c r="F403" s="4"/>
      <c r="G403" s="4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2"/>
      <c r="E404" s="4"/>
      <c r="F404" s="4"/>
      <c r="G404" s="4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2"/>
      <c r="E405" s="4"/>
      <c r="F405" s="4"/>
      <c r="G405" s="4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2"/>
      <c r="E406" s="4"/>
      <c r="F406" s="4"/>
      <c r="G406" s="4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2"/>
      <c r="E407" s="4"/>
      <c r="F407" s="4"/>
      <c r="G407" s="4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2"/>
      <c r="E408" s="4"/>
      <c r="F408" s="4"/>
      <c r="G408" s="4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2"/>
      <c r="E409" s="4"/>
      <c r="F409" s="4"/>
      <c r="G409" s="4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2"/>
      <c r="E410" s="4"/>
      <c r="F410" s="4"/>
      <c r="G410" s="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2"/>
      <c r="E411" s="4"/>
      <c r="F411" s="4"/>
      <c r="G411" s="4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2"/>
      <c r="E412" s="4"/>
      <c r="F412" s="4"/>
      <c r="G412" s="4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2"/>
      <c r="E413" s="4"/>
      <c r="F413" s="4"/>
      <c r="G413" s="4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2"/>
      <c r="E414" s="4"/>
      <c r="F414" s="4"/>
      <c r="G414" s="4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2"/>
      <c r="E415" s="4"/>
      <c r="F415" s="4"/>
      <c r="G415" s="4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2"/>
      <c r="E416" s="4"/>
      <c r="F416" s="4"/>
      <c r="G416" s="4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2"/>
      <c r="E417" s="4"/>
      <c r="F417" s="4"/>
      <c r="G417" s="4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2"/>
      <c r="E418" s="4"/>
      <c r="F418" s="4"/>
      <c r="G418" s="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2"/>
      <c r="E419" s="4"/>
      <c r="F419" s="4"/>
      <c r="G419" s="4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2"/>
      <c r="E420" s="4"/>
      <c r="F420" s="4"/>
      <c r="G420" s="4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2"/>
      <c r="E421" s="4"/>
      <c r="F421" s="4"/>
      <c r="G421" s="4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2"/>
      <c r="E422" s="4"/>
      <c r="F422" s="4"/>
      <c r="G422" s="4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2"/>
      <c r="E423" s="4"/>
      <c r="F423" s="4"/>
      <c r="G423" s="4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2"/>
      <c r="E424" s="4"/>
      <c r="F424" s="4"/>
      <c r="G424" s="4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2"/>
      <c r="E425" s="4"/>
      <c r="F425" s="4"/>
      <c r="G425" s="4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2"/>
      <c r="E426" s="4"/>
      <c r="F426" s="4"/>
      <c r="G426" s="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2"/>
      <c r="E427" s="4"/>
      <c r="F427" s="4"/>
      <c r="G427" s="4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2"/>
      <c r="E428" s="4"/>
      <c r="F428" s="4"/>
      <c r="G428" s="4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2"/>
      <c r="E429" s="4"/>
      <c r="F429" s="4"/>
      <c r="G429" s="4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2"/>
      <c r="E430" s="4"/>
      <c r="F430" s="4"/>
      <c r="G430" s="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2"/>
      <c r="E431" s="4"/>
      <c r="F431" s="4"/>
      <c r="G431" s="4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2"/>
      <c r="E432" s="4"/>
      <c r="F432" s="4"/>
      <c r="G432" s="4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2"/>
      <c r="E433" s="4"/>
      <c r="F433" s="4"/>
      <c r="G433" s="4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2"/>
      <c r="E434" s="4"/>
      <c r="F434" s="4"/>
      <c r="G434" s="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2"/>
      <c r="E435" s="4"/>
      <c r="F435" s="4"/>
      <c r="G435" s="4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2"/>
      <c r="E436" s="4"/>
      <c r="F436" s="4"/>
      <c r="G436" s="4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2"/>
      <c r="E437" s="4"/>
      <c r="F437" s="4"/>
      <c r="G437" s="4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2"/>
      <c r="E438" s="4"/>
      <c r="F438" s="4"/>
      <c r="G438" s="4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2"/>
      <c r="E439" s="4"/>
      <c r="F439" s="4"/>
      <c r="G439" s="4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2"/>
      <c r="E440" s="4"/>
      <c r="F440" s="4"/>
      <c r="G440" s="4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2"/>
      <c r="E441" s="4"/>
      <c r="F441" s="4"/>
      <c r="G441" s="4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2"/>
      <c r="E442" s="4"/>
      <c r="F442" s="4"/>
      <c r="G442" s="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2"/>
      <c r="E443" s="4"/>
      <c r="F443" s="4"/>
      <c r="G443" s="4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2"/>
      <c r="E444" s="4"/>
      <c r="F444" s="4"/>
      <c r="G444" s="4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2"/>
      <c r="E445" s="4"/>
      <c r="F445" s="4"/>
      <c r="G445" s="4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2"/>
      <c r="E446" s="4"/>
      <c r="F446" s="4"/>
      <c r="G446" s="4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2"/>
      <c r="E447" s="4"/>
      <c r="F447" s="4"/>
      <c r="G447" s="4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2"/>
      <c r="E448" s="4"/>
      <c r="F448" s="4"/>
      <c r="G448" s="4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2"/>
      <c r="E449" s="4"/>
      <c r="F449" s="4"/>
      <c r="G449" s="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2"/>
      <c r="E450" s="4"/>
      <c r="F450" s="4"/>
      <c r="G450" s="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2"/>
      <c r="E451" s="4"/>
      <c r="F451" s="4"/>
      <c r="G451" s="4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2"/>
      <c r="E452" s="4"/>
      <c r="F452" s="4"/>
      <c r="G452" s="4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2"/>
      <c r="E453" s="4"/>
      <c r="F453" s="4"/>
      <c r="G453" s="4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2"/>
      <c r="E454" s="4"/>
      <c r="F454" s="4"/>
      <c r="G454" s="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2"/>
      <c r="E455" s="4"/>
      <c r="F455" s="4"/>
      <c r="G455" s="4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2"/>
      <c r="E456" s="4"/>
      <c r="F456" s="4"/>
      <c r="G456" s="4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2"/>
      <c r="E457" s="4"/>
      <c r="F457" s="4"/>
      <c r="G457" s="4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2"/>
      <c r="E458" s="4"/>
      <c r="F458" s="4"/>
      <c r="G458" s="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2"/>
      <c r="E459" s="4"/>
      <c r="F459" s="4"/>
      <c r="G459" s="4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2"/>
      <c r="E460" s="4"/>
      <c r="F460" s="4"/>
      <c r="G460" s="4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2"/>
      <c r="E461" s="4"/>
      <c r="F461" s="4"/>
      <c r="G461" s="4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2"/>
      <c r="E462" s="4"/>
      <c r="F462" s="4"/>
      <c r="G462" s="4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2"/>
      <c r="E463" s="4"/>
      <c r="F463" s="4"/>
      <c r="G463" s="4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2"/>
      <c r="E464" s="4"/>
      <c r="F464" s="4"/>
      <c r="G464" s="4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2"/>
      <c r="E465" s="4"/>
      <c r="F465" s="4"/>
      <c r="G465" s="4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2"/>
      <c r="E466" s="4"/>
      <c r="F466" s="4"/>
      <c r="G466" s="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2"/>
      <c r="E467" s="4"/>
      <c r="F467" s="4"/>
      <c r="G467" s="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2"/>
      <c r="E468" s="4"/>
      <c r="F468" s="4"/>
      <c r="G468" s="4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2"/>
      <c r="E469" s="4"/>
      <c r="F469" s="4"/>
      <c r="G469" s="4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2"/>
      <c r="E470" s="4"/>
      <c r="F470" s="4"/>
      <c r="G470" s="4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2"/>
      <c r="E471" s="4"/>
      <c r="F471" s="4"/>
      <c r="G471" s="4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2"/>
      <c r="E472" s="4"/>
      <c r="F472" s="4"/>
      <c r="G472" s="4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2"/>
      <c r="E473" s="4"/>
      <c r="F473" s="4"/>
      <c r="G473" s="4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2"/>
      <c r="E474" s="4"/>
      <c r="F474" s="4"/>
      <c r="G474" s="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2"/>
      <c r="E475" s="4"/>
      <c r="F475" s="4"/>
      <c r="G475" s="4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2"/>
      <c r="E476" s="4"/>
      <c r="F476" s="4"/>
      <c r="G476" s="4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2"/>
      <c r="E477" s="4"/>
      <c r="F477" s="4"/>
      <c r="G477" s="4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2"/>
      <c r="E478" s="4"/>
      <c r="F478" s="4"/>
      <c r="G478" s="4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2"/>
      <c r="E479" s="4"/>
      <c r="F479" s="4"/>
      <c r="G479" s="4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2"/>
      <c r="E480" s="4"/>
      <c r="F480" s="4"/>
      <c r="G480" s="4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2"/>
      <c r="E481" s="4"/>
      <c r="F481" s="4"/>
      <c r="G481" s="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2"/>
      <c r="E482" s="4"/>
      <c r="F482" s="4"/>
      <c r="G482" s="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2"/>
      <c r="E483" s="4"/>
      <c r="F483" s="4"/>
      <c r="G483" s="4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2"/>
      <c r="E484" s="4"/>
      <c r="F484" s="4"/>
      <c r="G484" s="4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2"/>
      <c r="E485" s="4"/>
      <c r="F485" s="4"/>
      <c r="G485" s="4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2"/>
      <c r="E486" s="4"/>
      <c r="F486" s="4"/>
      <c r="G486" s="4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2"/>
      <c r="E487" s="4"/>
      <c r="F487" s="4"/>
      <c r="G487" s="4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2"/>
      <c r="E488" s="4"/>
      <c r="F488" s="4"/>
      <c r="G488" s="4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2"/>
      <c r="E489" s="4"/>
      <c r="F489" s="4"/>
      <c r="G489" s="4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2"/>
      <c r="E490" s="4"/>
      <c r="F490" s="4"/>
      <c r="G490" s="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2"/>
      <c r="E491" s="4"/>
      <c r="F491" s="4"/>
      <c r="G491" s="4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2"/>
      <c r="E492" s="4"/>
      <c r="F492" s="4"/>
      <c r="G492" s="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2"/>
      <c r="E493" s="4"/>
      <c r="F493" s="4"/>
      <c r="G493" s="4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2"/>
      <c r="E494" s="4"/>
      <c r="F494" s="4"/>
      <c r="G494" s="4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2"/>
      <c r="E495" s="4"/>
      <c r="F495" s="4"/>
      <c r="G495" s="4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2"/>
      <c r="E496" s="4"/>
      <c r="F496" s="4"/>
      <c r="G496" s="4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2"/>
      <c r="E497" s="4"/>
      <c r="F497" s="4"/>
      <c r="G497" s="4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2"/>
      <c r="E498" s="4"/>
      <c r="F498" s="4"/>
      <c r="G498" s="4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2"/>
      <c r="E499" s="4"/>
      <c r="F499" s="4"/>
      <c r="G499" s="4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2"/>
      <c r="E500" s="4"/>
      <c r="F500" s="4"/>
      <c r="G500" s="4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2"/>
      <c r="E501" s="4"/>
      <c r="F501" s="4"/>
      <c r="G501" s="4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2"/>
      <c r="E502" s="4"/>
      <c r="F502" s="4"/>
      <c r="G502" s="4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2"/>
      <c r="E503" s="4"/>
      <c r="F503" s="4"/>
      <c r="G503" s="4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2"/>
      <c r="E504" s="4"/>
      <c r="F504" s="4"/>
      <c r="G504" s="4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2"/>
      <c r="E505" s="4"/>
      <c r="F505" s="4"/>
      <c r="G505" s="4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2"/>
      <c r="E506" s="4"/>
      <c r="F506" s="4"/>
      <c r="G506" s="4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2"/>
      <c r="E507" s="4"/>
      <c r="F507" s="4"/>
      <c r="G507" s="4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2"/>
      <c r="E508" s="4"/>
      <c r="F508" s="4"/>
      <c r="G508" s="4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2"/>
      <c r="E509" s="4"/>
      <c r="F509" s="4"/>
      <c r="G509" s="4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2"/>
      <c r="E510" s="4"/>
      <c r="F510" s="4"/>
      <c r="G510" s="4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2"/>
      <c r="E511" s="4"/>
      <c r="F511" s="4"/>
      <c r="G511" s="4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2"/>
      <c r="E512" s="4"/>
      <c r="F512" s="4"/>
      <c r="G512" s="4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2"/>
      <c r="E513" s="4"/>
      <c r="F513" s="4"/>
      <c r="G513" s="4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2"/>
      <c r="E514" s="4"/>
      <c r="F514" s="4"/>
      <c r="G514" s="4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2"/>
      <c r="E515" s="4"/>
      <c r="F515" s="4"/>
      <c r="G515" s="4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2"/>
      <c r="E516" s="4"/>
      <c r="F516" s="4"/>
      <c r="G516" s="4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2"/>
      <c r="E517" s="4"/>
      <c r="F517" s="4"/>
      <c r="G517" s="4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2"/>
      <c r="E518" s="4"/>
      <c r="F518" s="4"/>
      <c r="G518" s="4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2"/>
      <c r="E519" s="4"/>
      <c r="F519" s="4"/>
      <c r="G519" s="4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2"/>
      <c r="E520" s="4"/>
      <c r="F520" s="4"/>
      <c r="G520" s="4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2"/>
      <c r="E521" s="4"/>
      <c r="F521" s="4"/>
      <c r="G521" s="4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2"/>
      <c r="E522" s="4"/>
      <c r="F522" s="4"/>
      <c r="G522" s="4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2"/>
      <c r="E523" s="4"/>
      <c r="F523" s="4"/>
      <c r="G523" s="4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2"/>
      <c r="E524" s="4"/>
      <c r="F524" s="4"/>
      <c r="G524" s="4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2"/>
      <c r="E525" s="4"/>
      <c r="F525" s="4"/>
      <c r="G525" s="4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2"/>
      <c r="E526" s="4"/>
      <c r="F526" s="4"/>
      <c r="G526" s="4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2"/>
      <c r="E527" s="4"/>
      <c r="F527" s="4"/>
      <c r="G527" s="4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2"/>
      <c r="E528" s="4"/>
      <c r="F528" s="4"/>
      <c r="G528" s="4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2"/>
      <c r="E529" s="4"/>
      <c r="F529" s="4"/>
      <c r="G529" s="4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2"/>
      <c r="E530" s="4"/>
      <c r="F530" s="4"/>
      <c r="G530" s="4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2"/>
      <c r="E531" s="4"/>
      <c r="F531" s="4"/>
      <c r="G531" s="4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2"/>
      <c r="E532" s="4"/>
      <c r="F532" s="4"/>
      <c r="G532" s="4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2"/>
      <c r="E533" s="4"/>
      <c r="F533" s="4"/>
      <c r="G533" s="4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2"/>
      <c r="E534" s="4"/>
      <c r="F534" s="4"/>
      <c r="G534" s="4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2"/>
      <c r="E535" s="4"/>
      <c r="F535" s="4"/>
      <c r="G535" s="4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2"/>
      <c r="E536" s="4"/>
      <c r="F536" s="4"/>
      <c r="G536" s="4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2"/>
      <c r="E537" s="4"/>
      <c r="F537" s="4"/>
      <c r="G537" s="4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2"/>
      <c r="E538" s="4"/>
      <c r="F538" s="4"/>
      <c r="G538" s="4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2"/>
      <c r="E539" s="4"/>
      <c r="F539" s="4"/>
      <c r="G539" s="4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2"/>
      <c r="E540" s="4"/>
      <c r="F540" s="4"/>
      <c r="G540" s="4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2"/>
      <c r="E541" s="4"/>
      <c r="F541" s="4"/>
      <c r="G541" s="4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2"/>
      <c r="E542" s="4"/>
      <c r="F542" s="4"/>
      <c r="G542" s="4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2"/>
      <c r="E543" s="4"/>
      <c r="F543" s="4"/>
      <c r="G543" s="4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2"/>
      <c r="E544" s="4"/>
      <c r="F544" s="4"/>
      <c r="G544" s="4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2"/>
      <c r="E545" s="4"/>
      <c r="F545" s="4"/>
      <c r="G545" s="4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2"/>
      <c r="E546" s="4"/>
      <c r="F546" s="4"/>
      <c r="G546" s="4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2"/>
      <c r="E547" s="4"/>
      <c r="F547" s="4"/>
      <c r="G547" s="4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2"/>
      <c r="E548" s="4"/>
      <c r="F548" s="4"/>
      <c r="G548" s="4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2"/>
      <c r="E549" s="4"/>
      <c r="F549" s="4"/>
      <c r="G549" s="4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2"/>
      <c r="E550" s="4"/>
      <c r="F550" s="4"/>
      <c r="G550" s="4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2"/>
      <c r="E551" s="4"/>
      <c r="F551" s="4"/>
      <c r="G551" s="4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2"/>
      <c r="E552" s="4"/>
      <c r="F552" s="4"/>
      <c r="G552" s="4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2"/>
      <c r="E553" s="4"/>
      <c r="F553" s="4"/>
      <c r="G553" s="4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2"/>
      <c r="E554" s="4"/>
      <c r="F554" s="4"/>
      <c r="G554" s="4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2"/>
      <c r="E555" s="4"/>
      <c r="F555" s="4"/>
      <c r="G555" s="4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2"/>
      <c r="E556" s="4"/>
      <c r="F556" s="4"/>
      <c r="G556" s="4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2"/>
      <c r="E557" s="4"/>
      <c r="F557" s="4"/>
      <c r="G557" s="4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2"/>
      <c r="E558" s="4"/>
      <c r="F558" s="4"/>
      <c r="G558" s="4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2"/>
      <c r="E559" s="4"/>
      <c r="F559" s="4"/>
      <c r="G559" s="4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2"/>
      <c r="E560" s="4"/>
      <c r="F560" s="4"/>
      <c r="G560" s="4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2"/>
      <c r="E561" s="4"/>
      <c r="F561" s="4"/>
      <c r="G561" s="4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2"/>
      <c r="E562" s="4"/>
      <c r="F562" s="4"/>
      <c r="G562" s="4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2"/>
      <c r="E563" s="4"/>
      <c r="F563" s="4"/>
      <c r="G563" s="4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2"/>
      <c r="E564" s="4"/>
      <c r="F564" s="4"/>
      <c r="G564" s="4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2"/>
      <c r="E565" s="4"/>
      <c r="F565" s="4"/>
      <c r="G565" s="4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2"/>
      <c r="E566" s="4"/>
      <c r="F566" s="4"/>
      <c r="G566" s="4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2"/>
      <c r="E567" s="4"/>
      <c r="F567" s="4"/>
      <c r="G567" s="4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2"/>
      <c r="E568" s="4"/>
      <c r="F568" s="4"/>
      <c r="G568" s="4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2"/>
      <c r="E569" s="4"/>
      <c r="F569" s="4"/>
      <c r="G569" s="4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2"/>
      <c r="E570" s="4"/>
      <c r="F570" s="4"/>
      <c r="G570" s="4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2"/>
      <c r="E571" s="4"/>
      <c r="F571" s="4"/>
      <c r="G571" s="4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2"/>
      <c r="E572" s="4"/>
      <c r="F572" s="4"/>
      <c r="G572" s="4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2"/>
      <c r="E573" s="4"/>
      <c r="F573" s="4"/>
      <c r="G573" s="4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2"/>
      <c r="E574" s="4"/>
      <c r="F574" s="4"/>
      <c r="G574" s="4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2"/>
      <c r="E575" s="4"/>
      <c r="F575" s="4"/>
      <c r="G575" s="4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2"/>
      <c r="E576" s="4"/>
      <c r="F576" s="4"/>
      <c r="G576" s="4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2"/>
      <c r="E577" s="4"/>
      <c r="F577" s="4"/>
      <c r="G577" s="4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2"/>
      <c r="E578" s="4"/>
      <c r="F578" s="4"/>
      <c r="G578" s="4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2"/>
      <c r="E579" s="4"/>
      <c r="F579" s="4"/>
      <c r="G579" s="4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2"/>
      <c r="E580" s="4"/>
      <c r="F580" s="4"/>
      <c r="G580" s="4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2"/>
      <c r="E581" s="4"/>
      <c r="F581" s="4"/>
      <c r="G581" s="4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2"/>
      <c r="E582" s="4"/>
      <c r="F582" s="4"/>
      <c r="G582" s="4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2"/>
      <c r="E583" s="4"/>
      <c r="F583" s="4"/>
      <c r="G583" s="4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2"/>
      <c r="E584" s="4"/>
      <c r="F584" s="4"/>
      <c r="G584" s="4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2"/>
      <c r="E585" s="4"/>
      <c r="F585" s="4"/>
      <c r="G585" s="4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2"/>
      <c r="E586" s="4"/>
      <c r="F586" s="4"/>
      <c r="G586" s="4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2"/>
      <c r="E587" s="4"/>
      <c r="F587" s="4"/>
      <c r="G587" s="4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2"/>
      <c r="E588" s="4"/>
      <c r="F588" s="4"/>
      <c r="G588" s="4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2"/>
      <c r="E589" s="4"/>
      <c r="F589" s="4"/>
      <c r="G589" s="4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2"/>
      <c r="E590" s="4"/>
      <c r="F590" s="4"/>
      <c r="G590" s="4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2"/>
      <c r="E591" s="4"/>
      <c r="F591" s="4"/>
      <c r="G591" s="4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2"/>
      <c r="E592" s="4"/>
      <c r="F592" s="4"/>
      <c r="G592" s="4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2"/>
      <c r="E593" s="4"/>
      <c r="F593" s="4"/>
      <c r="G593" s="4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2"/>
      <c r="E594" s="4"/>
      <c r="F594" s="4"/>
      <c r="G594" s="4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2"/>
      <c r="E595" s="4"/>
      <c r="F595" s="4"/>
      <c r="G595" s="4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2"/>
      <c r="E596" s="4"/>
      <c r="F596" s="4"/>
      <c r="G596" s="4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2"/>
      <c r="E597" s="4"/>
      <c r="F597" s="4"/>
      <c r="G597" s="4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2"/>
      <c r="E598" s="4"/>
      <c r="F598" s="4"/>
      <c r="G598" s="4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2"/>
      <c r="E599" s="4"/>
      <c r="F599" s="4"/>
      <c r="G599" s="4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2"/>
      <c r="E600" s="4"/>
      <c r="F600" s="4"/>
      <c r="G600" s="4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2"/>
      <c r="E601" s="4"/>
      <c r="F601" s="4"/>
      <c r="G601" s="4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2"/>
      <c r="E602" s="4"/>
      <c r="F602" s="4"/>
      <c r="G602" s="4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2"/>
      <c r="E603" s="4"/>
      <c r="F603" s="4"/>
      <c r="G603" s="4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2"/>
      <c r="E604" s="4"/>
      <c r="F604" s="4"/>
      <c r="G604" s="4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2"/>
      <c r="E605" s="4"/>
      <c r="F605" s="4"/>
      <c r="G605" s="4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2"/>
      <c r="E606" s="4"/>
      <c r="F606" s="4"/>
      <c r="G606" s="4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2"/>
      <c r="E607" s="4"/>
      <c r="F607" s="4"/>
      <c r="G607" s="4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2"/>
      <c r="E608" s="4"/>
      <c r="F608" s="4"/>
      <c r="G608" s="4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2"/>
      <c r="E609" s="4"/>
      <c r="F609" s="4"/>
      <c r="G609" s="4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2"/>
      <c r="E610" s="4"/>
      <c r="F610" s="4"/>
      <c r="G610" s="4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2"/>
      <c r="E611" s="4"/>
      <c r="F611" s="4"/>
      <c r="G611" s="4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2"/>
      <c r="E612" s="4"/>
      <c r="F612" s="4"/>
      <c r="G612" s="4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2"/>
      <c r="E613" s="4"/>
      <c r="F613" s="4"/>
      <c r="G613" s="4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2"/>
      <c r="E614" s="4"/>
      <c r="F614" s="4"/>
      <c r="G614" s="4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2"/>
      <c r="E615" s="4"/>
      <c r="F615" s="4"/>
      <c r="G615" s="4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2"/>
      <c r="E616" s="4"/>
      <c r="F616" s="4"/>
      <c r="G616" s="4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2"/>
      <c r="E617" s="4"/>
      <c r="F617" s="4"/>
      <c r="G617" s="4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2"/>
      <c r="E618" s="4"/>
      <c r="F618" s="4"/>
      <c r="G618" s="4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2"/>
      <c r="E619" s="4"/>
      <c r="F619" s="4"/>
      <c r="G619" s="4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2"/>
      <c r="E620" s="4"/>
      <c r="F620" s="4"/>
      <c r="G620" s="4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2"/>
      <c r="E621" s="4"/>
      <c r="F621" s="4"/>
      <c r="G621" s="4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2"/>
      <c r="E622" s="4"/>
      <c r="F622" s="4"/>
      <c r="G622" s="4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2"/>
      <c r="E623" s="4"/>
      <c r="F623" s="4"/>
      <c r="G623" s="4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2"/>
      <c r="E624" s="4"/>
      <c r="F624" s="4"/>
      <c r="G624" s="4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2"/>
      <c r="E625" s="4"/>
      <c r="F625" s="4"/>
      <c r="G625" s="4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2"/>
      <c r="E626" s="4"/>
      <c r="F626" s="4"/>
      <c r="G626" s="4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2"/>
      <c r="E627" s="4"/>
      <c r="F627" s="4"/>
      <c r="G627" s="4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2"/>
      <c r="E628" s="4"/>
      <c r="F628" s="4"/>
      <c r="G628" s="4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2"/>
      <c r="E629" s="4"/>
      <c r="F629" s="4"/>
      <c r="G629" s="4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2"/>
      <c r="E630" s="4"/>
      <c r="F630" s="4"/>
      <c r="G630" s="4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2"/>
      <c r="E631" s="4"/>
      <c r="F631" s="4"/>
      <c r="G631" s="4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2"/>
      <c r="E632" s="4"/>
      <c r="F632" s="4"/>
      <c r="G632" s="4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2"/>
      <c r="E633" s="4"/>
      <c r="F633" s="4"/>
      <c r="G633" s="4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2"/>
      <c r="E634" s="4"/>
      <c r="F634" s="4"/>
      <c r="G634" s="4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2"/>
      <c r="E635" s="4"/>
      <c r="F635" s="4"/>
      <c r="G635" s="4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2"/>
      <c r="E636" s="4"/>
      <c r="F636" s="4"/>
      <c r="G636" s="4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2"/>
      <c r="E637" s="4"/>
      <c r="F637" s="4"/>
      <c r="G637" s="4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2"/>
      <c r="E638" s="4"/>
      <c r="F638" s="4"/>
      <c r="G638" s="4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2"/>
      <c r="E639" s="4"/>
      <c r="F639" s="4"/>
      <c r="G639" s="4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2"/>
      <c r="E640" s="4"/>
      <c r="F640" s="4"/>
      <c r="G640" s="4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2"/>
      <c r="E641" s="4"/>
      <c r="F641" s="4"/>
      <c r="G641" s="4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2"/>
      <c r="E642" s="4"/>
      <c r="F642" s="4"/>
      <c r="G642" s="4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2"/>
      <c r="E643" s="4"/>
      <c r="F643" s="4"/>
      <c r="G643" s="4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2"/>
      <c r="E644" s="4"/>
      <c r="F644" s="4"/>
      <c r="G644" s="4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2"/>
      <c r="E645" s="4"/>
      <c r="F645" s="4"/>
      <c r="G645" s="4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2"/>
      <c r="E646" s="4"/>
      <c r="F646" s="4"/>
      <c r="G646" s="4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2"/>
      <c r="E647" s="4"/>
      <c r="F647" s="4"/>
      <c r="G647" s="4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2"/>
      <c r="E648" s="4"/>
      <c r="F648" s="4"/>
      <c r="G648" s="4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2"/>
      <c r="E649" s="4"/>
      <c r="F649" s="4"/>
      <c r="G649" s="4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2"/>
      <c r="E650" s="4"/>
      <c r="F650" s="4"/>
      <c r="G650" s="4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2"/>
      <c r="E651" s="4"/>
      <c r="F651" s="4"/>
      <c r="G651" s="4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2"/>
      <c r="E652" s="4"/>
      <c r="F652" s="4"/>
      <c r="G652" s="4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2"/>
      <c r="E653" s="4"/>
      <c r="F653" s="4"/>
      <c r="G653" s="4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2"/>
      <c r="E654" s="4"/>
      <c r="F654" s="4"/>
      <c r="G654" s="4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2"/>
      <c r="E655" s="4"/>
      <c r="F655" s="4"/>
      <c r="G655" s="4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2"/>
      <c r="E656" s="4"/>
      <c r="F656" s="4"/>
      <c r="G656" s="4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2"/>
      <c r="E657" s="4"/>
      <c r="F657" s="4"/>
      <c r="G657" s="4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2"/>
      <c r="E658" s="4"/>
      <c r="F658" s="4"/>
      <c r="G658" s="4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2"/>
      <c r="E659" s="4"/>
      <c r="F659" s="4"/>
      <c r="G659" s="4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2"/>
      <c r="E660" s="4"/>
      <c r="F660" s="4"/>
      <c r="G660" s="4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2"/>
      <c r="E661" s="4"/>
      <c r="F661" s="4"/>
      <c r="G661" s="4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2"/>
      <c r="E662" s="4"/>
      <c r="F662" s="4"/>
      <c r="G662" s="4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2"/>
      <c r="E663" s="4"/>
      <c r="F663" s="4"/>
      <c r="G663" s="4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2"/>
      <c r="E664" s="4"/>
      <c r="F664" s="4"/>
      <c r="G664" s="4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2"/>
      <c r="E665" s="4"/>
      <c r="F665" s="4"/>
      <c r="G665" s="4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2"/>
      <c r="E666" s="4"/>
      <c r="F666" s="4"/>
      <c r="G666" s="4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2"/>
      <c r="E667" s="4"/>
      <c r="F667" s="4"/>
      <c r="G667" s="4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2"/>
      <c r="E668" s="4"/>
      <c r="F668" s="4"/>
      <c r="G668" s="4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2"/>
      <c r="E669" s="4"/>
      <c r="F669" s="4"/>
      <c r="G669" s="4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2"/>
      <c r="E670" s="4"/>
      <c r="F670" s="4"/>
      <c r="G670" s="4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2"/>
      <c r="E671" s="4"/>
      <c r="F671" s="4"/>
      <c r="G671" s="4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2"/>
      <c r="E672" s="4"/>
      <c r="F672" s="4"/>
      <c r="G672" s="4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2"/>
      <c r="E673" s="4"/>
      <c r="F673" s="4"/>
      <c r="G673" s="4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2"/>
      <c r="E674" s="4"/>
      <c r="F674" s="4"/>
      <c r="G674" s="4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2"/>
      <c r="E675" s="4"/>
      <c r="F675" s="4"/>
      <c r="G675" s="4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2"/>
      <c r="E676" s="4"/>
      <c r="F676" s="4"/>
      <c r="G676" s="4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2"/>
      <c r="E677" s="4"/>
      <c r="F677" s="4"/>
      <c r="G677" s="4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2"/>
      <c r="E678" s="4"/>
      <c r="F678" s="4"/>
      <c r="G678" s="4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2"/>
      <c r="E679" s="4"/>
      <c r="F679" s="4"/>
      <c r="G679" s="4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2"/>
      <c r="E680" s="4"/>
      <c r="F680" s="4"/>
      <c r="G680" s="4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2"/>
      <c r="E681" s="4"/>
      <c r="F681" s="4"/>
      <c r="G681" s="4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2"/>
      <c r="E682" s="4"/>
      <c r="F682" s="4"/>
      <c r="G682" s="4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2"/>
      <c r="E683" s="4"/>
      <c r="F683" s="4"/>
      <c r="G683" s="4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2"/>
      <c r="E684" s="4"/>
      <c r="F684" s="4"/>
      <c r="G684" s="4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2"/>
      <c r="E685" s="4"/>
      <c r="F685" s="4"/>
      <c r="G685" s="4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2"/>
      <c r="E686" s="4"/>
      <c r="F686" s="4"/>
      <c r="G686" s="4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2"/>
      <c r="E687" s="4"/>
      <c r="F687" s="4"/>
      <c r="G687" s="4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2"/>
      <c r="E688" s="4"/>
      <c r="F688" s="4"/>
      <c r="G688" s="4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2"/>
      <c r="E689" s="4"/>
      <c r="F689" s="4"/>
      <c r="G689" s="4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2"/>
      <c r="E690" s="4"/>
      <c r="F690" s="4"/>
      <c r="G690" s="4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2"/>
      <c r="E691" s="4"/>
      <c r="F691" s="4"/>
      <c r="G691" s="4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2"/>
      <c r="E692" s="4"/>
      <c r="F692" s="4"/>
      <c r="G692" s="4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2"/>
      <c r="E693" s="4"/>
      <c r="F693" s="4"/>
      <c r="G693" s="4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2"/>
      <c r="E694" s="4"/>
      <c r="F694" s="4"/>
      <c r="G694" s="4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2"/>
      <c r="E695" s="4"/>
      <c r="F695" s="4"/>
      <c r="G695" s="4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2"/>
      <c r="E696" s="4"/>
      <c r="F696" s="4"/>
      <c r="G696" s="4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2"/>
      <c r="E697" s="4"/>
      <c r="F697" s="4"/>
      <c r="G697" s="4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2"/>
      <c r="E698" s="4"/>
      <c r="F698" s="4"/>
      <c r="G698" s="4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2"/>
      <c r="E699" s="4"/>
      <c r="F699" s="4"/>
      <c r="G699" s="4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2"/>
      <c r="E700" s="4"/>
      <c r="F700" s="4"/>
      <c r="G700" s="4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2"/>
      <c r="E701" s="4"/>
      <c r="F701" s="4"/>
      <c r="G701" s="4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2"/>
      <c r="E702" s="4"/>
      <c r="F702" s="4"/>
      <c r="G702" s="4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2"/>
      <c r="E703" s="4"/>
      <c r="F703" s="4"/>
      <c r="G703" s="4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2"/>
      <c r="E704" s="4"/>
      <c r="F704" s="4"/>
      <c r="G704" s="4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2"/>
      <c r="E705" s="4"/>
      <c r="F705" s="4"/>
      <c r="G705" s="4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2"/>
      <c r="E706" s="4"/>
      <c r="F706" s="4"/>
      <c r="G706" s="4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2"/>
      <c r="E707" s="4"/>
      <c r="F707" s="4"/>
      <c r="G707" s="4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2"/>
      <c r="E708" s="4"/>
      <c r="F708" s="4"/>
      <c r="G708" s="4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2"/>
      <c r="E709" s="4"/>
      <c r="F709" s="4"/>
      <c r="G709" s="4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2"/>
      <c r="E710" s="4"/>
      <c r="F710" s="4"/>
      <c r="G710" s="4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2"/>
      <c r="E711" s="4"/>
      <c r="F711" s="4"/>
      <c r="G711" s="4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2"/>
      <c r="E712" s="4"/>
      <c r="F712" s="4"/>
      <c r="G712" s="4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2"/>
      <c r="E713" s="4"/>
      <c r="F713" s="4"/>
      <c r="G713" s="4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2"/>
      <c r="E714" s="4"/>
      <c r="F714" s="4"/>
      <c r="G714" s="4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2"/>
      <c r="E715" s="4"/>
      <c r="F715" s="4"/>
      <c r="G715" s="4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2"/>
      <c r="E716" s="4"/>
      <c r="F716" s="4"/>
      <c r="G716" s="4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2"/>
      <c r="E717" s="4"/>
      <c r="F717" s="4"/>
      <c r="G717" s="4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2"/>
      <c r="E718" s="4"/>
      <c r="F718" s="4"/>
      <c r="G718" s="4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2"/>
      <c r="E719" s="4"/>
      <c r="F719" s="4"/>
      <c r="G719" s="4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2"/>
      <c r="E720" s="4"/>
      <c r="F720" s="4"/>
      <c r="G720" s="4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2"/>
      <c r="E721" s="4"/>
      <c r="F721" s="4"/>
      <c r="G721" s="4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2"/>
      <c r="E722" s="4"/>
      <c r="F722" s="4"/>
      <c r="G722" s="4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2"/>
      <c r="E723" s="4"/>
      <c r="F723" s="4"/>
      <c r="G723" s="4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2"/>
      <c r="E724" s="4"/>
      <c r="F724" s="4"/>
      <c r="G724" s="4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2"/>
      <c r="E725" s="4"/>
      <c r="F725" s="4"/>
      <c r="G725" s="4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2"/>
      <c r="E726" s="4"/>
      <c r="F726" s="4"/>
      <c r="G726" s="4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2"/>
      <c r="E727" s="4"/>
      <c r="F727" s="4"/>
      <c r="G727" s="4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2"/>
      <c r="E728" s="4"/>
      <c r="F728" s="4"/>
      <c r="G728" s="4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2"/>
      <c r="E729" s="4"/>
      <c r="F729" s="4"/>
      <c r="G729" s="4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2"/>
      <c r="E730" s="4"/>
      <c r="F730" s="4"/>
      <c r="G730" s="4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2"/>
      <c r="E731" s="4"/>
      <c r="F731" s="4"/>
      <c r="G731" s="4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2"/>
      <c r="E732" s="4"/>
      <c r="F732" s="4"/>
      <c r="G732" s="4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2"/>
      <c r="E733" s="4"/>
      <c r="F733" s="4"/>
      <c r="G733" s="4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2"/>
      <c r="E734" s="4"/>
      <c r="F734" s="4"/>
      <c r="G734" s="4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2"/>
      <c r="E735" s="4"/>
      <c r="F735" s="4"/>
      <c r="G735" s="4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2"/>
      <c r="E736" s="4"/>
      <c r="F736" s="4"/>
      <c r="G736" s="4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2"/>
      <c r="E737" s="4"/>
      <c r="F737" s="4"/>
      <c r="G737" s="4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2"/>
      <c r="E738" s="4"/>
      <c r="F738" s="4"/>
      <c r="G738" s="4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2"/>
      <c r="E739" s="4"/>
      <c r="F739" s="4"/>
      <c r="G739" s="4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2"/>
      <c r="E740" s="4"/>
      <c r="F740" s="4"/>
      <c r="G740" s="4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2"/>
      <c r="E741" s="4"/>
      <c r="F741" s="4"/>
      <c r="G741" s="4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2"/>
      <c r="E742" s="4"/>
      <c r="F742" s="4"/>
      <c r="G742" s="4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2"/>
      <c r="E743" s="4"/>
      <c r="F743" s="4"/>
      <c r="G743" s="4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2"/>
      <c r="E744" s="4"/>
      <c r="F744" s="4"/>
      <c r="G744" s="4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2"/>
      <c r="E745" s="4"/>
      <c r="F745" s="4"/>
      <c r="G745" s="4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2"/>
      <c r="E746" s="4"/>
      <c r="F746" s="4"/>
      <c r="G746" s="4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2"/>
      <c r="E747" s="4"/>
      <c r="F747" s="4"/>
      <c r="G747" s="4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2"/>
      <c r="E748" s="4"/>
      <c r="F748" s="4"/>
      <c r="G748" s="4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2"/>
      <c r="E749" s="4"/>
      <c r="F749" s="4"/>
      <c r="G749" s="4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2"/>
      <c r="E750" s="4"/>
      <c r="F750" s="4"/>
      <c r="G750" s="4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2"/>
      <c r="E751" s="4"/>
      <c r="F751" s="4"/>
      <c r="G751" s="4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2"/>
      <c r="E752" s="4"/>
      <c r="F752" s="4"/>
      <c r="G752" s="4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2"/>
      <c r="E753" s="4"/>
      <c r="F753" s="4"/>
      <c r="G753" s="4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2"/>
      <c r="E754" s="4"/>
      <c r="F754" s="4"/>
      <c r="G754" s="4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2"/>
      <c r="E755" s="4"/>
      <c r="F755" s="4"/>
      <c r="G755" s="4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2"/>
      <c r="E756" s="4"/>
      <c r="F756" s="4"/>
      <c r="G756" s="4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2"/>
      <c r="E757" s="4"/>
      <c r="F757" s="4"/>
      <c r="G757" s="4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2"/>
      <c r="E758" s="4"/>
      <c r="F758" s="4"/>
      <c r="G758" s="4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2"/>
      <c r="E759" s="4"/>
      <c r="F759" s="4"/>
      <c r="G759" s="4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2"/>
      <c r="E760" s="4"/>
      <c r="F760" s="4"/>
      <c r="G760" s="4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2"/>
      <c r="E761" s="4"/>
      <c r="F761" s="4"/>
      <c r="G761" s="4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2"/>
      <c r="E762" s="4"/>
      <c r="F762" s="4"/>
      <c r="G762" s="4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2"/>
      <c r="E763" s="4"/>
      <c r="F763" s="4"/>
      <c r="G763" s="4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2"/>
      <c r="E764" s="4"/>
      <c r="F764" s="4"/>
      <c r="G764" s="4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2"/>
      <c r="E765" s="4"/>
      <c r="F765" s="4"/>
      <c r="G765" s="4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2"/>
      <c r="E766" s="4"/>
      <c r="F766" s="4"/>
      <c r="G766" s="4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2"/>
      <c r="E767" s="4"/>
      <c r="F767" s="4"/>
      <c r="G767" s="4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2"/>
      <c r="E768" s="4"/>
      <c r="F768" s="4"/>
      <c r="G768" s="4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2"/>
      <c r="E769" s="4"/>
      <c r="F769" s="4"/>
      <c r="G769" s="4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2"/>
      <c r="E770" s="4"/>
      <c r="F770" s="4"/>
      <c r="G770" s="4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2"/>
      <c r="E771" s="4"/>
      <c r="F771" s="4"/>
      <c r="G771" s="4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2"/>
      <c r="E772" s="4"/>
      <c r="F772" s="4"/>
      <c r="G772" s="4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2"/>
      <c r="E773" s="4"/>
      <c r="F773" s="4"/>
      <c r="G773" s="4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2"/>
      <c r="E774" s="4"/>
      <c r="F774" s="4"/>
      <c r="G774" s="4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2"/>
      <c r="E775" s="4"/>
      <c r="F775" s="4"/>
      <c r="G775" s="4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2"/>
      <c r="E776" s="4"/>
      <c r="F776" s="4"/>
      <c r="G776" s="4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2"/>
      <c r="E777" s="4"/>
      <c r="F777" s="4"/>
      <c r="G777" s="4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2"/>
      <c r="E778" s="4"/>
      <c r="F778" s="4"/>
      <c r="G778" s="4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2"/>
      <c r="E779" s="4"/>
      <c r="F779" s="4"/>
      <c r="G779" s="4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2"/>
      <c r="E780" s="4"/>
      <c r="F780" s="4"/>
      <c r="G780" s="4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2"/>
      <c r="E781" s="4"/>
      <c r="F781" s="4"/>
      <c r="G781" s="4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2"/>
      <c r="E782" s="4"/>
      <c r="F782" s="4"/>
      <c r="G782" s="4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2"/>
      <c r="E783" s="4"/>
      <c r="F783" s="4"/>
      <c r="G783" s="4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2"/>
      <c r="E784" s="4"/>
      <c r="F784" s="4"/>
      <c r="G784" s="4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2"/>
      <c r="E785" s="4"/>
      <c r="F785" s="4"/>
      <c r="G785" s="4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2"/>
      <c r="E786" s="4"/>
      <c r="F786" s="4"/>
      <c r="G786" s="4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2"/>
      <c r="E787" s="4"/>
      <c r="F787" s="4"/>
      <c r="G787" s="4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2"/>
      <c r="E788" s="4"/>
      <c r="F788" s="4"/>
      <c r="G788" s="4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2"/>
      <c r="E789" s="4"/>
      <c r="F789" s="4"/>
      <c r="G789" s="4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2"/>
      <c r="E790" s="4"/>
      <c r="F790" s="4"/>
      <c r="G790" s="4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2"/>
      <c r="E791" s="4"/>
      <c r="F791" s="4"/>
      <c r="G791" s="4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2"/>
      <c r="E792" s="4"/>
      <c r="F792" s="4"/>
      <c r="G792" s="4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2"/>
      <c r="E793" s="4"/>
      <c r="F793" s="4"/>
      <c r="G793" s="4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2"/>
      <c r="E794" s="4"/>
      <c r="F794" s="4"/>
      <c r="G794" s="4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2"/>
      <c r="E795" s="4"/>
      <c r="F795" s="4"/>
      <c r="G795" s="4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2"/>
      <c r="E796" s="4"/>
      <c r="F796" s="4"/>
      <c r="G796" s="4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2"/>
      <c r="E797" s="4"/>
      <c r="F797" s="4"/>
      <c r="G797" s="4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2"/>
      <c r="E798" s="4"/>
      <c r="F798" s="4"/>
      <c r="G798" s="4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2"/>
      <c r="E799" s="4"/>
      <c r="F799" s="4"/>
      <c r="G799" s="4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2"/>
      <c r="E800" s="4"/>
      <c r="F800" s="4"/>
      <c r="G800" s="4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2"/>
      <c r="E801" s="4"/>
      <c r="F801" s="4"/>
      <c r="G801" s="4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2"/>
      <c r="E802" s="4"/>
      <c r="F802" s="4"/>
      <c r="G802" s="4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2"/>
      <c r="E803" s="4"/>
      <c r="F803" s="4"/>
      <c r="G803" s="4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2"/>
      <c r="E804" s="4"/>
      <c r="F804" s="4"/>
      <c r="G804" s="4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2"/>
      <c r="E805" s="4"/>
      <c r="F805" s="4"/>
      <c r="G805" s="4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2"/>
      <c r="E806" s="4"/>
      <c r="F806" s="4"/>
      <c r="G806" s="4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2"/>
      <c r="E807" s="4"/>
      <c r="F807" s="4"/>
      <c r="G807" s="4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2"/>
      <c r="E808" s="4"/>
      <c r="F808" s="4"/>
      <c r="G808" s="4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2"/>
      <c r="E809" s="4"/>
      <c r="F809" s="4"/>
      <c r="G809" s="4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2"/>
      <c r="E810" s="4"/>
      <c r="F810" s="4"/>
      <c r="G810" s="4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2"/>
      <c r="E811" s="4"/>
      <c r="F811" s="4"/>
      <c r="G811" s="4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2"/>
      <c r="E812" s="4"/>
      <c r="F812" s="4"/>
      <c r="G812" s="4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2"/>
      <c r="E813" s="4"/>
      <c r="F813" s="4"/>
      <c r="G813" s="4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2"/>
      <c r="E814" s="4"/>
      <c r="F814" s="4"/>
      <c r="G814" s="4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2"/>
      <c r="E815" s="4"/>
      <c r="F815" s="4"/>
      <c r="G815" s="4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2"/>
      <c r="E816" s="4"/>
      <c r="F816" s="4"/>
      <c r="G816" s="4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2"/>
      <c r="E817" s="4"/>
      <c r="F817" s="4"/>
      <c r="G817" s="4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2"/>
      <c r="E818" s="4"/>
      <c r="F818" s="4"/>
      <c r="G818" s="4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2"/>
      <c r="E819" s="4"/>
      <c r="F819" s="4"/>
      <c r="G819" s="4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2"/>
      <c r="E820" s="4"/>
      <c r="F820" s="4"/>
      <c r="G820" s="4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2"/>
      <c r="E821" s="4"/>
      <c r="F821" s="4"/>
      <c r="G821" s="4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2"/>
      <c r="E822" s="4"/>
      <c r="F822" s="4"/>
      <c r="G822" s="4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2"/>
      <c r="E823" s="4"/>
      <c r="F823" s="4"/>
      <c r="G823" s="4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2"/>
      <c r="E824" s="4"/>
      <c r="F824" s="4"/>
      <c r="G824" s="4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2"/>
      <c r="E825" s="4"/>
      <c r="F825" s="4"/>
      <c r="G825" s="4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2"/>
      <c r="E826" s="4"/>
      <c r="F826" s="4"/>
      <c r="G826" s="4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2"/>
      <c r="E827" s="4"/>
      <c r="F827" s="4"/>
      <c r="G827" s="4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2"/>
      <c r="E828" s="4"/>
      <c r="F828" s="4"/>
      <c r="G828" s="4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2"/>
      <c r="E829" s="4"/>
      <c r="F829" s="4"/>
      <c r="G829" s="4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2"/>
      <c r="E830" s="4"/>
      <c r="F830" s="4"/>
      <c r="G830" s="4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2"/>
      <c r="E831" s="4"/>
      <c r="F831" s="4"/>
      <c r="G831" s="4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2"/>
      <c r="E832" s="4"/>
      <c r="F832" s="4"/>
      <c r="G832" s="4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2"/>
      <c r="E833" s="4"/>
      <c r="F833" s="4"/>
      <c r="G833" s="4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2"/>
      <c r="E834" s="4"/>
      <c r="F834" s="4"/>
      <c r="G834" s="4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2"/>
      <c r="E835" s="4"/>
      <c r="F835" s="4"/>
      <c r="G835" s="4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2"/>
      <c r="E836" s="4"/>
      <c r="F836" s="4"/>
      <c r="G836" s="4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2"/>
      <c r="E837" s="4"/>
      <c r="F837" s="4"/>
      <c r="G837" s="4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2"/>
      <c r="E838" s="4"/>
      <c r="F838" s="4"/>
      <c r="G838" s="4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2"/>
      <c r="E839" s="4"/>
      <c r="F839" s="4"/>
      <c r="G839" s="4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2"/>
      <c r="E840" s="4"/>
      <c r="F840" s="4"/>
      <c r="G840" s="4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2"/>
      <c r="E841" s="4"/>
      <c r="F841" s="4"/>
      <c r="G841" s="4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2"/>
      <c r="E842" s="4"/>
      <c r="F842" s="4"/>
      <c r="G842" s="4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2"/>
      <c r="E843" s="4"/>
      <c r="F843" s="4"/>
      <c r="G843" s="4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2"/>
      <c r="E844" s="4"/>
      <c r="F844" s="4"/>
      <c r="G844" s="4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2"/>
      <c r="E845" s="4"/>
      <c r="F845" s="4"/>
      <c r="G845" s="4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2"/>
      <c r="E846" s="4"/>
      <c r="F846" s="4"/>
      <c r="G846" s="4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2"/>
      <c r="E847" s="4"/>
      <c r="F847" s="4"/>
      <c r="G847" s="4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2"/>
      <c r="E848" s="4"/>
      <c r="F848" s="4"/>
      <c r="G848" s="4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2"/>
      <c r="E849" s="4"/>
      <c r="F849" s="4"/>
      <c r="G849" s="4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2"/>
      <c r="E850" s="4"/>
      <c r="F850" s="4"/>
      <c r="G850" s="4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2"/>
      <c r="E851" s="4"/>
      <c r="F851" s="4"/>
      <c r="G851" s="4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2"/>
      <c r="E852" s="4"/>
      <c r="F852" s="4"/>
      <c r="G852" s="4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2"/>
      <c r="E853" s="4"/>
      <c r="F853" s="4"/>
      <c r="G853" s="4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2"/>
      <c r="E854" s="4"/>
      <c r="F854" s="4"/>
      <c r="G854" s="4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2"/>
      <c r="E855" s="4"/>
      <c r="F855" s="4"/>
      <c r="G855" s="4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2"/>
      <c r="E856" s="4"/>
      <c r="F856" s="4"/>
      <c r="G856" s="4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2"/>
      <c r="E857" s="4"/>
      <c r="F857" s="4"/>
      <c r="G857" s="4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2"/>
      <c r="E858" s="4"/>
      <c r="F858" s="4"/>
      <c r="G858" s="4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2"/>
      <c r="E859" s="4"/>
      <c r="F859" s="4"/>
      <c r="G859" s="4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2"/>
      <c r="E860" s="4"/>
      <c r="F860" s="4"/>
      <c r="G860" s="4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2"/>
      <c r="E861" s="4"/>
      <c r="F861" s="4"/>
      <c r="G861" s="4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2"/>
      <c r="E862" s="4"/>
      <c r="F862" s="4"/>
      <c r="G862" s="4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2"/>
      <c r="E863" s="4"/>
      <c r="F863" s="4"/>
      <c r="G863" s="4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2"/>
      <c r="E864" s="4"/>
      <c r="F864" s="4"/>
      <c r="G864" s="4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2"/>
      <c r="E865" s="4"/>
      <c r="F865" s="4"/>
      <c r="G865" s="4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2"/>
      <c r="E866" s="4"/>
      <c r="F866" s="4"/>
      <c r="G866" s="4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2"/>
      <c r="E867" s="4"/>
      <c r="F867" s="4"/>
      <c r="G867" s="4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2"/>
      <c r="E868" s="4"/>
      <c r="F868" s="4"/>
      <c r="G868" s="4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2"/>
      <c r="E869" s="4"/>
      <c r="F869" s="4"/>
      <c r="G869" s="4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2"/>
      <c r="E870" s="4"/>
      <c r="F870" s="4"/>
      <c r="G870" s="4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2"/>
      <c r="E871" s="4"/>
      <c r="F871" s="4"/>
      <c r="G871" s="4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2"/>
      <c r="E872" s="4"/>
      <c r="F872" s="4"/>
      <c r="G872" s="4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2"/>
      <c r="E873" s="4"/>
      <c r="F873" s="4"/>
      <c r="G873" s="4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2"/>
      <c r="E874" s="4"/>
      <c r="F874" s="4"/>
      <c r="G874" s="4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2"/>
      <c r="E875" s="4"/>
      <c r="F875" s="4"/>
      <c r="G875" s="4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2"/>
      <c r="E876" s="4"/>
      <c r="F876" s="4"/>
      <c r="G876" s="4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2"/>
      <c r="E877" s="4"/>
      <c r="F877" s="4"/>
      <c r="G877" s="4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2"/>
      <c r="E878" s="4"/>
      <c r="F878" s="4"/>
      <c r="G878" s="4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2"/>
      <c r="E879" s="4"/>
      <c r="F879" s="4"/>
      <c r="G879" s="4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2"/>
      <c r="E880" s="4"/>
      <c r="F880" s="4"/>
      <c r="G880" s="4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2"/>
      <c r="E881" s="4"/>
      <c r="F881" s="4"/>
      <c r="G881" s="4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2"/>
      <c r="E882" s="4"/>
      <c r="F882" s="4"/>
      <c r="G882" s="4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2"/>
      <c r="E883" s="4"/>
      <c r="F883" s="4"/>
      <c r="G883" s="4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2"/>
      <c r="E884" s="4"/>
      <c r="F884" s="4"/>
      <c r="G884" s="4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2"/>
      <c r="E885" s="4"/>
      <c r="F885" s="4"/>
      <c r="G885" s="4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2"/>
      <c r="E886" s="4"/>
      <c r="F886" s="4"/>
      <c r="G886" s="4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2"/>
      <c r="E887" s="4"/>
      <c r="F887" s="4"/>
      <c r="G887" s="4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2"/>
      <c r="E888" s="4"/>
      <c r="F888" s="4"/>
      <c r="G888" s="4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2"/>
      <c r="E889" s="4"/>
      <c r="F889" s="4"/>
      <c r="G889" s="4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2"/>
      <c r="E890" s="4"/>
      <c r="F890" s="4"/>
      <c r="G890" s="4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2"/>
      <c r="E891" s="4"/>
      <c r="F891" s="4"/>
      <c r="G891" s="4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2"/>
      <c r="E892" s="4"/>
      <c r="F892" s="4"/>
      <c r="G892" s="4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2"/>
      <c r="E893" s="4"/>
      <c r="F893" s="4"/>
      <c r="G893" s="4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2"/>
      <c r="E894" s="4"/>
      <c r="F894" s="4"/>
      <c r="G894" s="4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2"/>
      <c r="E895" s="4"/>
      <c r="F895" s="4"/>
      <c r="G895" s="4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2"/>
      <c r="E896" s="4"/>
      <c r="F896" s="4"/>
      <c r="G896" s="4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2"/>
      <c r="E897" s="4"/>
      <c r="F897" s="4"/>
      <c r="G897" s="4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2"/>
      <c r="E898" s="4"/>
      <c r="F898" s="4"/>
      <c r="G898" s="4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2"/>
      <c r="E899" s="4"/>
      <c r="F899" s="4"/>
      <c r="G899" s="4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2"/>
      <c r="E900" s="4"/>
      <c r="F900" s="4"/>
      <c r="G900" s="4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2"/>
      <c r="E901" s="4"/>
      <c r="F901" s="4"/>
      <c r="G901" s="4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2"/>
      <c r="E902" s="4"/>
      <c r="F902" s="4"/>
      <c r="G902" s="4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2"/>
      <c r="E903" s="4"/>
      <c r="F903" s="4"/>
      <c r="G903" s="4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2"/>
      <c r="E904" s="4"/>
      <c r="F904" s="4"/>
      <c r="G904" s="4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2"/>
      <c r="E905" s="4"/>
      <c r="F905" s="4"/>
      <c r="G905" s="4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2"/>
      <c r="E906" s="4"/>
      <c r="F906" s="4"/>
      <c r="G906" s="4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2"/>
      <c r="E907" s="4"/>
      <c r="F907" s="4"/>
      <c r="G907" s="4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2"/>
      <c r="E908" s="4"/>
      <c r="F908" s="4"/>
      <c r="G908" s="4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2"/>
      <c r="E909" s="4"/>
      <c r="F909" s="4"/>
      <c r="G909" s="4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2"/>
      <c r="E910" s="4"/>
      <c r="F910" s="4"/>
      <c r="G910" s="4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2"/>
      <c r="E911" s="4"/>
      <c r="F911" s="4"/>
      <c r="G911" s="4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2"/>
      <c r="E912" s="4"/>
      <c r="F912" s="4"/>
      <c r="G912" s="4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2"/>
      <c r="E913" s="4"/>
      <c r="F913" s="4"/>
      <c r="G913" s="4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2"/>
      <c r="E914" s="4"/>
      <c r="F914" s="4"/>
      <c r="G914" s="4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2"/>
      <c r="E915" s="4"/>
      <c r="F915" s="4"/>
      <c r="G915" s="4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2"/>
      <c r="E916" s="4"/>
      <c r="F916" s="4"/>
      <c r="G916" s="4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2"/>
      <c r="E917" s="4"/>
      <c r="F917" s="4"/>
      <c r="G917" s="4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2"/>
      <c r="E918" s="4"/>
      <c r="F918" s="4"/>
      <c r="G918" s="4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2"/>
      <c r="E919" s="4"/>
      <c r="F919" s="4"/>
      <c r="G919" s="4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2"/>
      <c r="E920" s="4"/>
      <c r="F920" s="4"/>
      <c r="G920" s="4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2"/>
      <c r="E921" s="4"/>
      <c r="F921" s="4"/>
      <c r="G921" s="4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2"/>
      <c r="E922" s="4"/>
      <c r="F922" s="4"/>
      <c r="G922" s="4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2"/>
      <c r="E923" s="4"/>
      <c r="F923" s="4"/>
      <c r="G923" s="4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2"/>
      <c r="E924" s="4"/>
      <c r="F924" s="4"/>
      <c r="G924" s="4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2"/>
      <c r="E925" s="4"/>
      <c r="F925" s="4"/>
      <c r="G925" s="4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2"/>
      <c r="E926" s="4"/>
      <c r="F926" s="4"/>
      <c r="G926" s="4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2"/>
      <c r="E927" s="4"/>
      <c r="F927" s="4"/>
      <c r="G927" s="4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2"/>
      <c r="E928" s="4"/>
      <c r="F928" s="4"/>
      <c r="G928" s="4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2"/>
      <c r="E929" s="4"/>
      <c r="F929" s="4"/>
      <c r="G929" s="4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2"/>
      <c r="E930" s="4"/>
      <c r="F930" s="4"/>
      <c r="G930" s="4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2"/>
      <c r="E931" s="4"/>
      <c r="F931" s="4"/>
      <c r="G931" s="4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2"/>
      <c r="E932" s="4"/>
      <c r="F932" s="4"/>
      <c r="G932" s="4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2"/>
      <c r="E933" s="4"/>
      <c r="F933" s="4"/>
      <c r="G933" s="4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2"/>
      <c r="E934" s="4"/>
      <c r="F934" s="4"/>
      <c r="G934" s="4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2"/>
      <c r="E935" s="4"/>
      <c r="F935" s="4"/>
      <c r="G935" s="4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2"/>
      <c r="E936" s="4"/>
      <c r="F936" s="4"/>
      <c r="G936" s="4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2"/>
      <c r="E937" s="4"/>
      <c r="F937" s="4"/>
      <c r="G937" s="4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2"/>
      <c r="E938" s="4"/>
      <c r="F938" s="4"/>
      <c r="G938" s="4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2"/>
      <c r="E939" s="4"/>
      <c r="F939" s="4"/>
      <c r="G939" s="4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2"/>
      <c r="E940" s="4"/>
      <c r="F940" s="4"/>
      <c r="G940" s="4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2"/>
      <c r="E941" s="4"/>
      <c r="F941" s="4"/>
      <c r="G941" s="4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2"/>
      <c r="E942" s="4"/>
      <c r="F942" s="4"/>
      <c r="G942" s="4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2"/>
      <c r="E943" s="4"/>
      <c r="F943" s="4"/>
      <c r="G943" s="4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2"/>
      <c r="E944" s="4"/>
      <c r="F944" s="4"/>
      <c r="G944" s="4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2"/>
      <c r="E945" s="4"/>
      <c r="F945" s="4"/>
      <c r="G945" s="4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2"/>
      <c r="E946" s="4"/>
      <c r="F946" s="4"/>
      <c r="G946" s="4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2"/>
      <c r="E947" s="4"/>
      <c r="F947" s="4"/>
      <c r="G947" s="4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2"/>
      <c r="E948" s="4"/>
      <c r="F948" s="4"/>
      <c r="G948" s="4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2"/>
      <c r="E949" s="4"/>
      <c r="F949" s="4"/>
      <c r="G949" s="4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2"/>
      <c r="E950" s="4"/>
      <c r="F950" s="4"/>
      <c r="G950" s="4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2"/>
      <c r="E951" s="4"/>
      <c r="F951" s="4"/>
      <c r="G951" s="4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2"/>
      <c r="E952" s="4"/>
      <c r="F952" s="4"/>
      <c r="G952" s="4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2"/>
      <c r="E953" s="4"/>
      <c r="F953" s="4"/>
      <c r="G953" s="4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2"/>
      <c r="E954" s="4"/>
      <c r="F954" s="4"/>
      <c r="G954" s="4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2"/>
      <c r="E955" s="4"/>
      <c r="F955" s="4"/>
      <c r="G955" s="4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2"/>
      <c r="E956" s="4"/>
      <c r="F956" s="4"/>
      <c r="G956" s="4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2"/>
      <c r="E957" s="4"/>
      <c r="F957" s="4"/>
      <c r="G957" s="4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2"/>
      <c r="E958" s="4"/>
      <c r="F958" s="4"/>
      <c r="G958" s="4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2"/>
      <c r="E959" s="4"/>
      <c r="F959" s="4"/>
      <c r="G959" s="4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2"/>
      <c r="E960" s="4"/>
      <c r="F960" s="4"/>
      <c r="G960" s="4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2"/>
      <c r="E961" s="4"/>
      <c r="F961" s="4"/>
      <c r="G961" s="4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2"/>
      <c r="E962" s="4"/>
      <c r="F962" s="4"/>
      <c r="G962" s="4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2"/>
      <c r="E963" s="4"/>
      <c r="F963" s="4"/>
      <c r="G963" s="4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2"/>
      <c r="E964" s="4"/>
      <c r="F964" s="4"/>
      <c r="G964" s="4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2"/>
      <c r="E965" s="4"/>
      <c r="F965" s="4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</sheetData>
  <mergeCells count="2">
    <mergeCell ref="B5:C5"/>
    <mergeCell ref="B63:C6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2022-02-08T14:29:25Z</dcterms:created>
  <dc:creator>Apache POI</dc:creator>
</cp:coreProperties>
</file>